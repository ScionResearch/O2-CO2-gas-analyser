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Documents\Altium\Projects\Gas Analyser O2 CO2\"/>
    </mc:Choice>
  </mc:AlternateContent>
  <xr:revisionPtr revIDLastSave="0" documentId="13_ncr:1_{09256789-E80B-4508-8AF0-B51D5FF759AE}" xr6:coauthVersionLast="47" xr6:coauthVersionMax="47" xr10:uidLastSave="{00000000-0000-0000-0000-000000000000}"/>
  <bookViews>
    <workbookView xWindow="-120" yWindow="-120" windowWidth="38640" windowHeight="21120" xr2:uid="{6FC81A51-1C38-4ADE-8CCC-C29C2DF25082}"/>
  </bookViews>
  <sheets>
    <sheet name="SAMD2xx" sheetId="1" r:id="rId1"/>
    <sheet name="Lists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W5" i="1"/>
  <c r="X5" i="1" s="1"/>
  <c r="W6" i="1"/>
  <c r="X6" i="1" s="1"/>
  <c r="W7" i="1"/>
  <c r="X7" i="1" s="1"/>
  <c r="W8" i="1"/>
  <c r="X8" i="1" s="1"/>
  <c r="W9" i="1"/>
  <c r="X9" i="1" s="1"/>
  <c r="W10" i="1"/>
  <c r="X10" i="1" s="1"/>
  <c r="W11" i="1"/>
  <c r="X11" i="1" s="1"/>
  <c r="W12" i="1"/>
  <c r="X12" i="1" s="1"/>
  <c r="W13" i="1"/>
  <c r="X13" i="1" s="1"/>
  <c r="W14" i="1"/>
  <c r="X14" i="1" s="1"/>
  <c r="W15" i="1"/>
  <c r="X15" i="1" s="1"/>
  <c r="W16" i="1"/>
  <c r="X16" i="1" s="1"/>
  <c r="W17" i="1"/>
  <c r="X17" i="1" s="1"/>
  <c r="W18" i="1"/>
  <c r="X18" i="1" s="1"/>
  <c r="W19" i="1"/>
  <c r="X19" i="1" s="1"/>
  <c r="W20" i="1"/>
  <c r="X20" i="1" s="1"/>
  <c r="W21" i="1"/>
  <c r="X21" i="1" s="1"/>
  <c r="W22" i="1"/>
  <c r="X22" i="1" s="1"/>
  <c r="W23" i="1"/>
  <c r="X23" i="1" s="1"/>
  <c r="W24" i="1"/>
  <c r="X24" i="1" s="1"/>
  <c r="W25" i="1"/>
  <c r="X25" i="1" s="1"/>
  <c r="W26" i="1"/>
  <c r="X26" i="1" s="1"/>
  <c r="W27" i="1"/>
  <c r="X27" i="1" s="1"/>
  <c r="W28" i="1"/>
  <c r="X28" i="1" s="1"/>
  <c r="W29" i="1"/>
  <c r="X29" i="1" s="1"/>
  <c r="W30" i="1"/>
  <c r="X30" i="1" s="1"/>
  <c r="W31" i="1"/>
  <c r="X31" i="1" s="1"/>
  <c r="W32" i="1"/>
  <c r="X32" i="1" s="1"/>
  <c r="W33" i="1"/>
  <c r="X33" i="1" s="1"/>
  <c r="W34" i="1"/>
  <c r="X34" i="1" s="1"/>
  <c r="W35" i="1"/>
  <c r="X35" i="1" s="1"/>
  <c r="W36" i="1"/>
  <c r="X36" i="1" s="1"/>
  <c r="W37" i="1"/>
  <c r="X37" i="1" s="1"/>
  <c r="W38" i="1"/>
  <c r="X38" i="1" s="1"/>
  <c r="W39" i="1"/>
  <c r="X39" i="1" s="1"/>
  <c r="W40" i="1"/>
  <c r="X40" i="1" s="1"/>
  <c r="W41" i="1"/>
  <c r="X41" i="1" s="1"/>
  <c r="W42" i="1"/>
  <c r="X42" i="1" s="1"/>
  <c r="W43" i="1"/>
  <c r="X43" i="1" s="1"/>
  <c r="W44" i="1"/>
  <c r="X44" i="1" s="1"/>
  <c r="W45" i="1"/>
  <c r="X45" i="1" s="1"/>
  <c r="W46" i="1"/>
  <c r="X46" i="1" s="1"/>
  <c r="W47" i="1"/>
  <c r="X47" i="1" s="1"/>
  <c r="W48" i="1"/>
  <c r="X48" i="1" s="1"/>
  <c r="W49" i="1"/>
  <c r="X49" i="1" s="1"/>
  <c r="W50" i="1"/>
  <c r="X50" i="1" s="1"/>
  <c r="W51" i="1"/>
  <c r="X51" i="1" s="1"/>
  <c r="W52" i="1"/>
  <c r="X52" i="1" s="1"/>
  <c r="W53" i="1"/>
  <c r="X53" i="1" s="1"/>
  <c r="W54" i="1"/>
  <c r="X54" i="1" s="1"/>
  <c r="W55" i="1"/>
  <c r="X55" i="1" s="1"/>
  <c r="W56" i="1"/>
  <c r="X56" i="1" s="1"/>
</calcChain>
</file>

<file path=xl/sharedStrings.xml><?xml version="1.0" encoding="utf-8"?>
<sst xmlns="http://schemas.openxmlformats.org/spreadsheetml/2006/main" count="494" uniqueCount="284">
  <si>
    <t>Pin</t>
  </si>
  <si>
    <t>I/O Pin</t>
  </si>
  <si>
    <t>Supply</t>
  </si>
  <si>
    <t>A</t>
  </si>
  <si>
    <t>EIC</t>
  </si>
  <si>
    <t>B</t>
  </si>
  <si>
    <t>REF</t>
  </si>
  <si>
    <t>ADC</t>
  </si>
  <si>
    <t>AC</t>
  </si>
  <si>
    <t>PTC</t>
  </si>
  <si>
    <t>DAC</t>
  </si>
  <si>
    <t>C</t>
  </si>
  <si>
    <t>SERCOM</t>
  </si>
  <si>
    <t>D</t>
  </si>
  <si>
    <t>SERCOM-ALT</t>
  </si>
  <si>
    <t>E</t>
  </si>
  <si>
    <t>TC/TCC</t>
  </si>
  <si>
    <t>F</t>
  </si>
  <si>
    <t>TCC</t>
  </si>
  <si>
    <t>G</t>
  </si>
  <si>
    <t>COM</t>
  </si>
  <si>
    <t>H</t>
  </si>
  <si>
    <t>AC/GCLK</t>
  </si>
  <si>
    <t>PA00</t>
  </si>
  <si>
    <t>PA01</t>
  </si>
  <si>
    <t>PA02</t>
  </si>
  <si>
    <t>PA03</t>
  </si>
  <si>
    <t>PB04</t>
  </si>
  <si>
    <t>PB05</t>
  </si>
  <si>
    <t>PB06</t>
  </si>
  <si>
    <t>PB07</t>
  </si>
  <si>
    <t>PB08</t>
  </si>
  <si>
    <t>PB09</t>
  </si>
  <si>
    <t>PA04</t>
  </si>
  <si>
    <t>PA05</t>
  </si>
  <si>
    <t>PA06</t>
  </si>
  <si>
    <t>PA07</t>
  </si>
  <si>
    <t>PA08</t>
  </si>
  <si>
    <t>PA09</t>
  </si>
  <si>
    <t>PA10</t>
  </si>
  <si>
    <t>PA11</t>
  </si>
  <si>
    <t>PB10</t>
  </si>
  <si>
    <t>PB11</t>
  </si>
  <si>
    <t>PB12</t>
  </si>
  <si>
    <t>PB13</t>
  </si>
  <si>
    <t>PB14</t>
  </si>
  <si>
    <t>PB15</t>
  </si>
  <si>
    <t>PA12</t>
  </si>
  <si>
    <t>PA13</t>
  </si>
  <si>
    <t>PA14</t>
  </si>
  <si>
    <t>PA15</t>
  </si>
  <si>
    <t>PA16</t>
  </si>
  <si>
    <t>PA17</t>
  </si>
  <si>
    <t>PA18</t>
  </si>
  <si>
    <t>PA19</t>
  </si>
  <si>
    <t>PB16</t>
  </si>
  <si>
    <t>PB17</t>
  </si>
  <si>
    <t>PA20</t>
  </si>
  <si>
    <t>PA21</t>
  </si>
  <si>
    <t>PA22</t>
  </si>
  <si>
    <t>PA23</t>
  </si>
  <si>
    <t>PA24</t>
  </si>
  <si>
    <t>PA25</t>
  </si>
  <si>
    <t>PB22</t>
  </si>
  <si>
    <t>PB23</t>
  </si>
  <si>
    <t>PA27</t>
  </si>
  <si>
    <t>PA28</t>
  </si>
  <si>
    <t>PA30</t>
  </si>
  <si>
    <t>PA31</t>
  </si>
  <si>
    <t>PB30</t>
  </si>
  <si>
    <t>PB31</t>
  </si>
  <si>
    <t>PB00</t>
  </si>
  <si>
    <t>PB01</t>
  </si>
  <si>
    <t>PB02</t>
  </si>
  <si>
    <t>PB03</t>
  </si>
  <si>
    <t>VDDANA</t>
  </si>
  <si>
    <t>VDDIO</t>
  </si>
  <si>
    <t>EXTINT.0</t>
  </si>
  <si>
    <t>EXTINT.1</t>
  </si>
  <si>
    <t>EXTINT.2</t>
  </si>
  <si>
    <t>EXTINT.3</t>
  </si>
  <si>
    <t>EXTINT.4</t>
  </si>
  <si>
    <t>EXTINT.5</t>
  </si>
  <si>
    <t>EXTINT.6</t>
  </si>
  <si>
    <t>EXTINT.7</t>
  </si>
  <si>
    <t>EXTINT.8</t>
  </si>
  <si>
    <t>EXTINT.9</t>
  </si>
  <si>
    <t>NMI</t>
  </si>
  <si>
    <t>EXTINT.10</t>
  </si>
  <si>
    <t>EXTINT.11</t>
  </si>
  <si>
    <t>EXTINT.12</t>
  </si>
  <si>
    <t>EXTINT.13</t>
  </si>
  <si>
    <t>EXTINT.14</t>
  </si>
  <si>
    <t>EXTINT.15</t>
  </si>
  <si>
    <t>ADC/VREFA
DAC/VREFA</t>
  </si>
  <si>
    <t>ADC/VREFB</t>
  </si>
  <si>
    <t>AIN.0</t>
  </si>
  <si>
    <t>AIN.1</t>
  </si>
  <si>
    <t>AIN.2</t>
  </si>
  <si>
    <t>AIN.3</t>
  </si>
  <si>
    <t>AIN.12</t>
  </si>
  <si>
    <t>AIN.13</t>
  </si>
  <si>
    <t>AIN.14</t>
  </si>
  <si>
    <t>AIN.15</t>
  </si>
  <si>
    <t>AIN.4</t>
  </si>
  <si>
    <t>AIN.5</t>
  </si>
  <si>
    <t>AIN.6</t>
  </si>
  <si>
    <t>AIN.7</t>
  </si>
  <si>
    <t>AIN.8</t>
  </si>
  <si>
    <t>AIN.16</t>
  </si>
  <si>
    <t>AIN.17</t>
  </si>
  <si>
    <t>AIN.18</t>
  </si>
  <si>
    <t>AIN.19</t>
  </si>
  <si>
    <t>AIN.9</t>
  </si>
  <si>
    <t>AIN.10</t>
  </si>
  <si>
    <t>AIN.11</t>
  </si>
  <si>
    <t>Y.0</t>
  </si>
  <si>
    <t>Y.1</t>
  </si>
  <si>
    <t>Y.10</t>
  </si>
  <si>
    <t>Y.11</t>
  </si>
  <si>
    <t>Y.12</t>
  </si>
  <si>
    <t>Y.13</t>
  </si>
  <si>
    <t>Y.14</t>
  </si>
  <si>
    <t>Y.15</t>
  </si>
  <si>
    <t>Y.2</t>
  </si>
  <si>
    <t>Y.3</t>
  </si>
  <si>
    <t>Y.4</t>
  </si>
  <si>
    <t>Y.5</t>
  </si>
  <si>
    <t>X.0</t>
  </si>
  <si>
    <t>X.1</t>
  </si>
  <si>
    <t>X.2</t>
  </si>
  <si>
    <t>X.3</t>
  </si>
  <si>
    <t>X.12</t>
  </si>
  <si>
    <t>X.13</t>
  </si>
  <si>
    <t>X.14</t>
  </si>
  <si>
    <t>X.15</t>
  </si>
  <si>
    <t>X.4</t>
  </si>
  <si>
    <t>X.5</t>
  </si>
  <si>
    <t>X.6</t>
  </si>
  <si>
    <t>X.7</t>
  </si>
  <si>
    <t>X.8</t>
  </si>
  <si>
    <t>X.9</t>
  </si>
  <si>
    <t>X.10</t>
  </si>
  <si>
    <t>X.11</t>
  </si>
  <si>
    <t>Y.6</t>
  </si>
  <si>
    <t>Y.7</t>
  </si>
  <si>
    <t>Y.8</t>
  </si>
  <si>
    <t>Y.9</t>
  </si>
  <si>
    <t>VOUT</t>
  </si>
  <si>
    <t>SERCOM0.0</t>
  </si>
  <si>
    <t>SERCOM0.1</t>
  </si>
  <si>
    <t>SERCOM0.2</t>
  </si>
  <si>
    <t>SERCOM0.3</t>
  </si>
  <si>
    <t>SERCOM4.0</t>
  </si>
  <si>
    <t>SERCOM4.1</t>
  </si>
  <si>
    <t>SERCOM4.2</t>
  </si>
  <si>
    <t>SERCOM4.3</t>
  </si>
  <si>
    <t>SERCOM2.0</t>
  </si>
  <si>
    <t>SERCOM2.1</t>
  </si>
  <si>
    <t>SERCOM2.2</t>
  </si>
  <si>
    <t>SERCOM2.3</t>
  </si>
  <si>
    <t>SERCOM1.0</t>
  </si>
  <si>
    <t>SERCOM1.1</t>
  </si>
  <si>
    <t>SERCOM1.2</t>
  </si>
  <si>
    <t>SERCOM1.3</t>
  </si>
  <si>
    <t>SERCOM5.0</t>
  </si>
  <si>
    <t>SERCOM5.1</t>
  </si>
  <si>
    <t>SERCOM5.2</t>
  </si>
  <si>
    <t>SERCOM5.3</t>
  </si>
  <si>
    <t>SERCOM3.0</t>
  </si>
  <si>
    <t>SERCOM3.1</t>
  </si>
  <si>
    <t>SERCOM3.2</t>
  </si>
  <si>
    <t>SERCOM3.3</t>
  </si>
  <si>
    <t>TCC2/WO.0</t>
  </si>
  <si>
    <t>TCC2/WO.1</t>
  </si>
  <si>
    <t>TC4/WO.0</t>
  </si>
  <si>
    <t>TC4/WO.1</t>
  </si>
  <si>
    <t>TCC0/WO.0</t>
  </si>
  <si>
    <t>TCC0/WO.2</t>
  </si>
  <si>
    <t>TCC0/WO.4</t>
  </si>
  <si>
    <t>TCC0/WO.3</t>
  </si>
  <si>
    <t>TCC0/WO.5</t>
  </si>
  <si>
    <t>TCC0/WO.1</t>
  </si>
  <si>
    <t>TCC1/WO.0</t>
  </si>
  <si>
    <t>TCC1/WO.1</t>
  </si>
  <si>
    <t>TC5/WO.0</t>
  </si>
  <si>
    <t>TC5/WO.1</t>
  </si>
  <si>
    <t>TC3/WO.0</t>
  </si>
  <si>
    <t>TC3/WO.1</t>
  </si>
  <si>
    <t>TC6/WO.0</t>
  </si>
  <si>
    <t>TC6/WO.1</t>
  </si>
  <si>
    <t>TC7/WO.0</t>
  </si>
  <si>
    <t>TC7/WO.1</t>
  </si>
  <si>
    <t>TCC3/WO.0</t>
  </si>
  <si>
    <t>TCC3/WO.1</t>
  </si>
  <si>
    <t>TCC3/WO.2</t>
  </si>
  <si>
    <t>TCC3/WO.3</t>
  </si>
  <si>
    <t>TCC3/WO.4</t>
  </si>
  <si>
    <t>TCC3/WO.5</t>
  </si>
  <si>
    <t>TCC3/WO.6</t>
  </si>
  <si>
    <t>TCC3/WO.7</t>
  </si>
  <si>
    <t>TCC1/WO.2</t>
  </si>
  <si>
    <t>TCC1/WO.3</t>
  </si>
  <si>
    <t>TCC0/WO.6</t>
  </si>
  <si>
    <t>TCC0/WO.7</t>
  </si>
  <si>
    <t>I2S/SD.0</t>
  </si>
  <si>
    <t>I2S/SD.1</t>
  </si>
  <si>
    <t>I2S/MCK.0</t>
  </si>
  <si>
    <t>I2S/SCK.0</t>
  </si>
  <si>
    <t>I2S/FS.0</t>
  </si>
  <si>
    <t>I2S/MCK.1</t>
  </si>
  <si>
    <t>I2S/SCK.1</t>
  </si>
  <si>
    <t>I2S/FS.1</t>
  </si>
  <si>
    <t>USB/SOF 1kHz</t>
  </si>
  <si>
    <t>USB/DM</t>
  </si>
  <si>
    <t>USB/DP</t>
  </si>
  <si>
    <t>SWCLK</t>
  </si>
  <si>
    <t>SWDIO</t>
  </si>
  <si>
    <t>GCLK_IO.4</t>
  </si>
  <si>
    <t>GCLK_IO.5</t>
  </si>
  <si>
    <t>GCLK_IO.6</t>
  </si>
  <si>
    <t>GCLK_IO.7</t>
  </si>
  <si>
    <t>GCLK_IO.0</t>
  </si>
  <si>
    <t>GCLK_IO.1</t>
  </si>
  <si>
    <t>AC/CMP.0</t>
  </si>
  <si>
    <t>AC/CMP.1</t>
  </si>
  <si>
    <t>GCLK_IO.2</t>
  </si>
  <si>
    <t>GCLK_IO.3</t>
  </si>
  <si>
    <t>Port Pin</t>
  </si>
  <si>
    <t>VDD</t>
  </si>
  <si>
    <t>SAMD2xE</t>
  </si>
  <si>
    <t>SAMD2xG</t>
  </si>
  <si>
    <t>SAMD2xJ</t>
  </si>
  <si>
    <t>Datasheet:</t>
  </si>
  <si>
    <t>SAMD2x Pin Multiplex Table</t>
  </si>
  <si>
    <t>Application</t>
  </si>
  <si>
    <t>Variant</t>
  </si>
  <si>
    <t>Pin Name</t>
  </si>
  <si>
    <t>Function</t>
  </si>
  <si>
    <t>Arduino Pin</t>
  </si>
  <si>
    <t>Output</t>
  </si>
  <si>
    <t>Pin mode</t>
  </si>
  <si>
    <t>Pinmode()</t>
  </si>
  <si>
    <t>Arduino Framework Code</t>
  </si>
  <si>
    <t>Pin #defines</t>
  </si>
  <si>
    <t>Input</t>
  </si>
  <si>
    <t>Output Analogue</t>
  </si>
  <si>
    <t>Output state</t>
  </si>
  <si>
    <t>High</t>
  </si>
  <si>
    <t>Low</t>
  </si>
  <si>
    <t>Hi Z</t>
  </si>
  <si>
    <t>digitalWrite()</t>
  </si>
  <si>
    <t>Pin init state</t>
  </si>
  <si>
    <t>SAM-D21-DA1-Family-Data-Sheet-DS40001882H.pdf</t>
  </si>
  <si>
    <t>SPI pinout options:</t>
  </si>
  <si>
    <t>MOSI &amp; SCK</t>
  </si>
  <si>
    <t>MISO (any pad)</t>
  </si>
  <si>
    <t>SPI_PAD_0_SCK_1</t>
  </si>
  <si>
    <t>SERCOM_RX_PAD_0</t>
  </si>
  <si>
    <t>SPI_PAD_2_SCK_3</t>
  </si>
  <si>
    <t>SERCOM_RX_PAD_1</t>
  </si>
  <si>
    <t>SPI_PAD_3_SCK_1</t>
  </si>
  <si>
    <t>SERCOM_RX_PAD_2</t>
  </si>
  <si>
    <t>SPI_PAD_0_SCK_3</t>
  </si>
  <si>
    <t>SERCOM_RX_PAD_3</t>
  </si>
  <si>
    <t>USB_DM</t>
  </si>
  <si>
    <t>USB_DP</t>
  </si>
  <si>
    <t>VREF</t>
  </si>
  <si>
    <t>VPSU_FB</t>
  </si>
  <si>
    <t>NTC_HEAT</t>
  </si>
  <si>
    <t>NTC_AMB</t>
  </si>
  <si>
    <t>V_O2_SENS</t>
  </si>
  <si>
    <t>RS485_TX</t>
  </si>
  <si>
    <t>RS485_RX</t>
  </si>
  <si>
    <t>UART_CO2_TX</t>
  </si>
  <si>
    <t>UART_CO2_RX</t>
  </si>
  <si>
    <t>RS485_TERM</t>
  </si>
  <si>
    <t>RS485_DE</t>
  </si>
  <si>
    <t>HEAT_PWM</t>
  </si>
  <si>
    <t>LED_DAT</t>
  </si>
  <si>
    <t>XIN32</t>
  </si>
  <si>
    <t>XOUT32</t>
  </si>
  <si>
    <t>I2C_SDA</t>
  </si>
  <si>
    <t>I2C_SCL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</si>
</sst>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 tint="0.3499862666707357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2" xfId="0" applyBorder="1"/>
    <xf numFmtId="0" fontId="0" fillId="0" borderId="3" xfId="0" applyBorder="1"/>
    <xf numFmtId="0" fontId="4" fillId="0" borderId="0" xfId="1"/>
    <xf numFmtId="0" fontId="1" fillId="0" borderId="1" xfId="0" applyFont="1" applyBorder="1" applyAlignment="1">
      <alignment horizontal="center"/>
    </xf>
    <xf numFmtId="0" fontId="0" fillId="0" borderId="4" xfId="0" applyBorder="1"/>
    <xf numFmtId="0" fontId="1" fillId="0" borderId="5" xfId="0" applyFont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5" fillId="0" borderId="2" xfId="0" applyFont="1" applyBorder="1"/>
    <xf numFmtId="0" fontId="5" fillId="0" borderId="4" xfId="0" applyFont="1" applyBorder="1"/>
    <xf numFmtId="0" fontId="5" fillId="0" borderId="2" xfId="0" applyFont="1" applyBorder="1" applyAlignment="1">
      <alignment wrapText="1"/>
    </xf>
    <xf numFmtId="0" fontId="5" fillId="0" borderId="3" xfId="0" applyFont="1" applyBorder="1"/>
    <xf numFmtId="0" fontId="5" fillId="0" borderId="7" xfId="0" applyFont="1" applyBorder="1"/>
    <xf numFmtId="0" fontId="1" fillId="0" borderId="1" xfId="0" applyFont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5" fillId="2" borderId="2" xfId="0" applyFont="1" applyFill="1" applyBorder="1"/>
    <xf numFmtId="0" fontId="5" fillId="3" borderId="2" xfId="0" applyFont="1" applyFill="1" applyBorder="1"/>
    <xf numFmtId="0" fontId="5" fillId="4" borderId="2" xfId="0" applyFont="1" applyFill="1" applyBorder="1"/>
    <xf numFmtId="0" fontId="1" fillId="0" borderId="11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5" fillId="5" borderId="2" xfId="0" applyFont="1" applyFill="1" applyBorder="1"/>
  </cellXfs>
  <cellStyles count="2">
    <cellStyle name="Hyperlink" xfId="1" builtinId="8"/>
    <cellStyle name="Normal" xfId="0" builtinId="0"/>
  </cellStyles>
  <dxfs count="26">
    <dxf>
      <numFmt numFmtId="0" formatCode="General"/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numFmt numFmtId="0" formatCode="General"/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numFmt numFmtId="0" formatCode="General"/>
      <border diagonalUp="0" diagonalDown="0" outline="0">
        <left/>
        <right style="thin">
          <color auto="1"/>
        </right>
      </border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  <border diagonalUp="0" diagonalDown="0" outline="0">
        <left/>
        <right style="thin">
          <color auto="1"/>
        </right>
      </border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font>
        <b/>
        <strike val="0"/>
        <outline val="0"/>
        <shadow val="0"/>
        <u val="none"/>
        <vertAlign val="baseline"/>
        <sz val="11"/>
        <color theme="1" tint="0.34998626667073579"/>
        <name val="Calibri"/>
        <family val="2"/>
        <scheme val="minor"/>
      </font>
    </dxf>
    <dxf>
      <border diagonalUp="0" diagonalDown="0" outline="0">
        <left style="thin">
          <color auto="1"/>
        </left>
        <right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  <dxf>
      <border diagonalUp="0" diagonalDown="0">
        <left style="thin">
          <color auto="1"/>
        </left>
        <right style="thin">
          <color auto="1"/>
        </right>
        <vertical style="thin">
          <color auto="1"/>
        </vertic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57</xdr:row>
      <xdr:rowOff>0</xdr:rowOff>
    </xdr:from>
    <xdr:to>
      <xdr:col>11</xdr:col>
      <xdr:colOff>444444</xdr:colOff>
      <xdr:row>138</xdr:row>
      <xdr:rowOff>150452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7EA46C-0764-8485-89E6-C2163245E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1096625"/>
          <a:ext cx="10609524" cy="1558095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140</xdr:row>
      <xdr:rowOff>0</xdr:rowOff>
    </xdr:from>
    <xdr:to>
      <xdr:col>11</xdr:col>
      <xdr:colOff>215869</xdr:colOff>
      <xdr:row>196</xdr:row>
      <xdr:rowOff>34859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1860C4E-0C00-DBA4-6FCA-E0CA02696F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6908125"/>
          <a:ext cx="10409524" cy="106857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197</xdr:row>
      <xdr:rowOff>0</xdr:rowOff>
    </xdr:from>
    <xdr:to>
      <xdr:col>5</xdr:col>
      <xdr:colOff>720970</xdr:colOff>
      <xdr:row>247</xdr:row>
      <xdr:rowOff>36905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8BD13C-5E90-938A-0978-DB7FCF0C92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37766625"/>
          <a:ext cx="8200000" cy="9561905"/>
        </a:xfrm>
        <a:prstGeom prst="rect">
          <a:avLst/>
        </a:prstGeom>
      </xdr:spPr>
    </xdr:pic>
    <xdr:clientData/>
  </xdr:twoCellAnchor>
  <xdr:twoCellAnchor>
    <xdr:from>
      <xdr:col>11</xdr:col>
      <xdr:colOff>419100</xdr:colOff>
      <xdr:row>56</xdr:row>
      <xdr:rowOff>152400</xdr:rowOff>
    </xdr:from>
    <xdr:to>
      <xdr:col>20</xdr:col>
      <xdr:colOff>551370</xdr:colOff>
      <xdr:row>107</xdr:row>
      <xdr:rowOff>37838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26B78830-AF02-84B4-C6DD-AB106F9C411F}"/>
            </a:ext>
          </a:extLst>
        </xdr:cNvPr>
        <xdr:cNvGrpSpPr/>
      </xdr:nvGrpSpPr>
      <xdr:grpSpPr>
        <a:xfrm>
          <a:off x="10638865" y="5912224"/>
          <a:ext cx="5824858" cy="9600938"/>
          <a:chOff x="10572750" y="11029950"/>
          <a:chExt cx="8638095" cy="9600938"/>
        </a:xfrm>
      </xdr:grpSpPr>
      <xdr:pic>
        <xdr:nvPicPr>
          <xdr:cNvPr id="5" name="Picture 4">
            <a:extLst>
              <a:ext uri="{FF2B5EF4-FFF2-40B4-BE49-F238E27FC236}">
                <a16:creationId xmlns:a16="http://schemas.microsoft.com/office/drawing/2014/main" id="{6D6514DC-16C0-52AE-1255-A7E02C30FAB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0572750" y="11029950"/>
            <a:ext cx="8638095" cy="7533333"/>
          </a:xfrm>
          <a:prstGeom prst="rect">
            <a:avLst/>
          </a:prstGeom>
        </xdr:spPr>
      </xdr:pic>
      <xdr:pic>
        <xdr:nvPicPr>
          <xdr:cNvPr id="6" name="Picture 5">
            <a:extLst>
              <a:ext uri="{FF2B5EF4-FFF2-40B4-BE49-F238E27FC236}">
                <a16:creationId xmlns:a16="http://schemas.microsoft.com/office/drawing/2014/main" id="{C43B5214-B104-D98D-8E8F-2936EC1DB80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10572750" y="18535650"/>
            <a:ext cx="8628571" cy="2095238"/>
          </a:xfrm>
          <a:prstGeom prst="rect">
            <a:avLst/>
          </a:prstGeom>
        </xdr:spPr>
      </xdr:pic>
    </xdr:grpSp>
    <xdr:clientData/>
  </xdr:twoCellAnchor>
  <xdr:twoCellAnchor editAs="oneCell">
    <xdr:from>
      <xdr:col>21</xdr:col>
      <xdr:colOff>733425</xdr:colOff>
      <xdr:row>64</xdr:row>
      <xdr:rowOff>0</xdr:rowOff>
    </xdr:from>
    <xdr:to>
      <xdr:col>25</xdr:col>
      <xdr:colOff>305761</xdr:colOff>
      <xdr:row>73</xdr:row>
      <xdr:rowOff>9766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C1EFC6-1164-47FD-A3FD-48C8C56080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107150" y="12239625"/>
          <a:ext cx="6887536" cy="1724266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FD0E077-3F36-4224-8102-C5AF46D5C24A}" name="Table5" displayName="Table5" ref="A4:Y56" totalsRowShown="0" headerRowDxfId="25">
  <autoFilter ref="A4:Y56" xr:uid="{7FD0E077-3F36-4224-8102-C5AF46D5C24A}">
    <filterColumn colId="5">
      <customFilters>
        <customFilter operator="notEqual" val=" "/>
      </customFilters>
    </filterColumn>
  </autoFilter>
  <tableColumns count="25">
    <tableColumn id="38" xr3:uid="{91607A48-E441-4E48-B682-E0720B0B33A6}" name="Pin Name" dataDxfId="24"/>
    <tableColumn id="39" xr3:uid="{34370CD6-1CA1-4CA5-97BC-FBAD7771849A}" name="Function" dataDxfId="23"/>
    <tableColumn id="46" xr3:uid="{ED54F2AC-E012-432D-AAA7-EFB9A280C6E7}" name="Pin mode" dataDxfId="22"/>
    <tableColumn id="45" xr3:uid="{8EEDC450-3469-4A8C-95E3-79D3E60A2E9D}" name="Pin init state" dataDxfId="21"/>
    <tableColumn id="40" xr3:uid="{8AA25D59-6799-44FA-A312-E6D8E32BD8C4}" name="Arduino Pin" dataDxfId="20"/>
    <tableColumn id="1" xr3:uid="{7987C4FB-698C-4C3E-97DF-0B216B24C0C2}" name="SAMD2xE" dataDxfId="19"/>
    <tableColumn id="2" xr3:uid="{41E95AEC-F77C-4973-A996-2F5E73AE9E2E}" name="SAMD2xG" dataDxfId="18"/>
    <tableColumn id="3" xr3:uid="{74C88703-E0E3-48BD-BD13-89915FC27473}" name="SAMD2xJ" dataDxfId="17"/>
    <tableColumn id="4" xr3:uid="{A46E4F1E-30DF-4262-99A1-456D697AF565}" name="Port Pin" dataDxfId="16"/>
    <tableColumn id="5" xr3:uid="{F5B322BC-2B3C-4495-B257-060C3337128C}" name="VDD" dataDxfId="15"/>
    <tableColumn id="6" xr3:uid="{E2D3C057-1C6E-47FB-A548-8ADAA2D55CB0}" name="EIC" dataDxfId="14"/>
    <tableColumn id="7" xr3:uid="{761EBED2-8962-4592-B404-F82DF146BDC1}" name="REF" dataDxfId="13"/>
    <tableColumn id="8" xr3:uid="{841CC299-1CCD-47C9-B47A-F9863C72292F}" name="ADC" dataDxfId="12"/>
    <tableColumn id="9" xr3:uid="{49BA4359-35BC-47DE-B3F8-ABDD1F434336}" name="AC" dataDxfId="11"/>
    <tableColumn id="10" xr3:uid="{72335B48-647A-4A53-B9F4-B95C4AE781A4}" name="PTC" dataDxfId="10"/>
    <tableColumn id="11" xr3:uid="{DF1204A6-0038-4B93-9CC3-2E2AC0347879}" name="DAC" dataDxfId="9"/>
    <tableColumn id="12" xr3:uid="{81AED823-CBDF-4794-8545-9C3CE81E4FF2}" name="SERCOM" dataDxfId="8"/>
    <tableColumn id="13" xr3:uid="{348F12A1-2540-4B7A-81FF-E6F2CEF14C80}" name="SERCOM-ALT" dataDxfId="7"/>
    <tableColumn id="14" xr3:uid="{EF01AE50-FA43-4A03-92F5-806D06650A61}" name="TC/TCC" dataDxfId="6"/>
    <tableColumn id="15" xr3:uid="{CA66543F-D8F3-4938-9C22-09C7ACD65BDA}" name="TCC" dataDxfId="5"/>
    <tableColumn id="16" xr3:uid="{B2C360AE-9CE3-4D13-870C-1EF88DAC5969}" name="COM" dataDxfId="4"/>
    <tableColumn id="17" xr3:uid="{4E36FA3A-5A66-4807-AD37-9887C9AC1A2E}" name="AC/GCLK" dataDxfId="3"/>
    <tableColumn id="42" xr3:uid="{B601A8FF-BAB2-4DFC-A7C0-78FE4A84C8B2}" name="Pin #defines" dataDxfId="2">
      <calculatedColumnFormula xml:space="preserve"> IF(AND(ISTEXT(Table5[[#This Row],[Pin Name]]), ISNUMBER(Table5[[#This Row],[Arduino Pin]])), "#define PIN_" &amp; Table5[[#This Row],[Pin Name]] &amp; " " &amp; Table5[[#This Row],[Arduino Pin]], "")</calculatedColumnFormula>
    </tableColumn>
    <tableColumn id="47" xr3:uid="{9FAE6A76-75EB-4459-BFD1-C621F42A1DFC}" name="Pinmode()" dataDxfId="1">
      <calculatedColumnFormula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calculatedColumnFormula>
    </tableColumn>
    <tableColumn id="48" xr3:uid="{8E7968F8-FE41-444C-A3EA-E7C5172D0A3F}" name="digitalWrite()" dataDxfId="0">
      <calculatedColumnFormula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SAM-D21-DA1-Family-Data-Sheet-DS40001882H.pdf" TargetMode="Externa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1FD84-08A8-47AC-B8C8-0067E006D2B6}">
  <dimension ref="A1:Y63"/>
  <sheetViews>
    <sheetView tabSelected="1" zoomScale="85" zoomScaleNormal="85" workbookViewId="0">
      <selection activeCell="A19" sqref="A19:XFD20"/>
    </sheetView>
  </sheetViews>
  <sheetFormatPr defaultRowHeight="15" x14ac:dyDescent="0.25"/>
  <cols>
    <col min="1" max="1" width="20.5703125" customWidth="1"/>
    <col min="2" max="2" width="47.5703125" bestFit="1" customWidth="1"/>
    <col min="3" max="3" width="16.28515625" bestFit="1" customWidth="1"/>
    <col min="4" max="4" width="14.42578125" bestFit="1" customWidth="1"/>
    <col min="5" max="5" width="13.7109375" bestFit="1" customWidth="1"/>
    <col min="6" max="6" width="11.7109375" bestFit="1" customWidth="1"/>
    <col min="7" max="7" width="12.140625" hidden="1" customWidth="1"/>
    <col min="8" max="8" width="11.42578125" hidden="1" customWidth="1"/>
    <col min="9" max="9" width="10.28515625" bestFit="1" customWidth="1"/>
    <col min="10" max="10" width="8.85546875" bestFit="1" customWidth="1"/>
    <col min="11" max="11" width="9.7109375" bestFit="1" customWidth="1"/>
    <col min="12" max="12" width="11.140625" bestFit="1" customWidth="1"/>
    <col min="13" max="13" width="7" bestFit="1" customWidth="1"/>
    <col min="14" max="14" width="5.85546875" bestFit="1" customWidth="1"/>
    <col min="15" max="15" width="6.7109375" bestFit="1" customWidth="1"/>
    <col min="16" max="16" width="7" bestFit="1" customWidth="1"/>
    <col min="17" max="17" width="11" bestFit="1" customWidth="1"/>
    <col min="18" max="18" width="14.7109375" bestFit="1" customWidth="1"/>
    <col min="19" max="20" width="11" bestFit="1" customWidth="1"/>
    <col min="21" max="21" width="13.42578125" bestFit="1" customWidth="1"/>
    <col min="22" max="22" width="11.140625" bestFit="1" customWidth="1"/>
    <col min="23" max="25" width="32.85546875" customWidth="1"/>
  </cols>
  <sheetData>
    <row r="1" spans="1:25" ht="18.75" x14ac:dyDescent="0.3">
      <c r="A1" s="25" t="s">
        <v>234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</row>
    <row r="2" spans="1:25" x14ac:dyDescent="0.25">
      <c r="A2" t="s">
        <v>233</v>
      </c>
      <c r="B2" s="3" t="s">
        <v>253</v>
      </c>
    </row>
    <row r="3" spans="1:25" x14ac:dyDescent="0.25">
      <c r="A3" s="24" t="s">
        <v>235</v>
      </c>
      <c r="B3" s="21"/>
      <c r="C3" s="21"/>
      <c r="D3" s="22"/>
      <c r="E3" s="4" t="s">
        <v>236</v>
      </c>
      <c r="F3" s="23" t="s">
        <v>0</v>
      </c>
      <c r="G3" s="23"/>
      <c r="H3" s="23"/>
      <c r="I3" s="4" t="s">
        <v>1</v>
      </c>
      <c r="J3" s="4" t="s">
        <v>2</v>
      </c>
      <c r="K3" s="4" t="s">
        <v>3</v>
      </c>
      <c r="L3" s="4" t="s">
        <v>5</v>
      </c>
      <c r="M3" s="4"/>
      <c r="N3" s="4"/>
      <c r="O3" s="4"/>
      <c r="P3" s="4"/>
      <c r="Q3" s="4" t="s">
        <v>11</v>
      </c>
      <c r="R3" s="4" t="s">
        <v>13</v>
      </c>
      <c r="S3" s="4" t="s">
        <v>15</v>
      </c>
      <c r="T3" s="4" t="s">
        <v>17</v>
      </c>
      <c r="U3" s="4" t="s">
        <v>19</v>
      </c>
      <c r="V3" s="6" t="s">
        <v>21</v>
      </c>
      <c r="W3" s="20" t="s">
        <v>243</v>
      </c>
      <c r="X3" s="21"/>
      <c r="Y3" s="22"/>
    </row>
    <row r="4" spans="1:25" x14ac:dyDescent="0.25">
      <c r="A4" s="1" t="s">
        <v>237</v>
      </c>
      <c r="B4" s="1" t="s">
        <v>238</v>
      </c>
      <c r="C4" s="1" t="s">
        <v>241</v>
      </c>
      <c r="D4" s="1" t="s">
        <v>252</v>
      </c>
      <c r="E4" s="1" t="s">
        <v>239</v>
      </c>
      <c r="F4" s="1" t="s">
        <v>230</v>
      </c>
      <c r="G4" s="1" t="s">
        <v>231</v>
      </c>
      <c r="H4" s="1" t="s">
        <v>232</v>
      </c>
      <c r="I4" s="1" t="s">
        <v>228</v>
      </c>
      <c r="J4" s="1" t="s">
        <v>229</v>
      </c>
      <c r="K4" s="1" t="s">
        <v>4</v>
      </c>
      <c r="L4" s="1" t="s">
        <v>6</v>
      </c>
      <c r="M4" s="1" t="s">
        <v>7</v>
      </c>
      <c r="N4" s="1" t="s">
        <v>8</v>
      </c>
      <c r="O4" s="1" t="s">
        <v>9</v>
      </c>
      <c r="P4" s="1" t="s">
        <v>10</v>
      </c>
      <c r="Q4" s="1" t="s">
        <v>12</v>
      </c>
      <c r="R4" s="1" t="s">
        <v>14</v>
      </c>
      <c r="S4" s="1" t="s">
        <v>16</v>
      </c>
      <c r="T4" s="1" t="s">
        <v>18</v>
      </c>
      <c r="U4" s="1" t="s">
        <v>20</v>
      </c>
      <c r="V4" s="5" t="s">
        <v>22</v>
      </c>
      <c r="W4" s="7" t="s">
        <v>244</v>
      </c>
      <c r="X4" s="1" t="s">
        <v>242</v>
      </c>
      <c r="Y4" s="1" t="s">
        <v>251</v>
      </c>
    </row>
    <row r="5" spans="1:25" x14ac:dyDescent="0.25">
      <c r="A5" s="1" t="s">
        <v>280</v>
      </c>
      <c r="B5" s="1"/>
      <c r="C5" s="1" t="s">
        <v>245</v>
      </c>
      <c r="D5" s="1" t="s">
        <v>250</v>
      </c>
      <c r="E5" s="1">
        <v>0</v>
      </c>
      <c r="F5" s="9">
        <v>1</v>
      </c>
      <c r="G5" s="9">
        <v>1</v>
      </c>
      <c r="H5" s="9">
        <v>1</v>
      </c>
      <c r="I5" s="9" t="s">
        <v>23</v>
      </c>
      <c r="J5" s="9" t="s">
        <v>75</v>
      </c>
      <c r="K5" s="9" t="s">
        <v>77</v>
      </c>
      <c r="L5" s="9"/>
      <c r="M5" s="9"/>
      <c r="N5" s="9"/>
      <c r="O5" s="9"/>
      <c r="P5" s="9"/>
      <c r="Q5" s="9"/>
      <c r="R5" s="9" t="s">
        <v>161</v>
      </c>
      <c r="S5" s="9" t="s">
        <v>173</v>
      </c>
      <c r="T5" s="9"/>
      <c r="U5" s="9"/>
      <c r="V5" s="10"/>
      <c r="W5" s="7" t="str">
        <f xml:space="preserve"> IF(AND(ISTEXT(Table5[[#This Row],[Pin Name]]), ISNUMBER(Table5[[#This Row],[Arduino Pin]])), "#define PIN_" &amp; Table5[[#This Row],[Pin Name]] &amp; " " &amp; Table5[[#This Row],[Arduino Pin]], "")</f>
        <v>#define PIN_XIN32 0</v>
      </c>
      <c r="X5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pinMode(PIN_XIN32, INPUT);</v>
      </c>
      <c r="Y5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6" spans="1:25" x14ac:dyDescent="0.25">
      <c r="A6" s="1" t="s">
        <v>281</v>
      </c>
      <c r="B6" s="1"/>
      <c r="C6" s="1" t="s">
        <v>245</v>
      </c>
      <c r="D6" s="1" t="s">
        <v>250</v>
      </c>
      <c r="E6" s="1">
        <v>1</v>
      </c>
      <c r="F6" s="9">
        <v>2</v>
      </c>
      <c r="G6" s="9">
        <v>2</v>
      </c>
      <c r="H6" s="9">
        <v>2</v>
      </c>
      <c r="I6" s="9" t="s">
        <v>24</v>
      </c>
      <c r="J6" s="9" t="s">
        <v>75</v>
      </c>
      <c r="K6" s="9" t="s">
        <v>78</v>
      </c>
      <c r="L6" s="9"/>
      <c r="M6" s="9"/>
      <c r="N6" s="9"/>
      <c r="O6" s="9"/>
      <c r="P6" s="9"/>
      <c r="Q6" s="9"/>
      <c r="R6" s="9" t="s">
        <v>162</v>
      </c>
      <c r="S6" s="9" t="s">
        <v>174</v>
      </c>
      <c r="T6" s="9"/>
      <c r="U6" s="9"/>
      <c r="V6" s="10"/>
      <c r="W6" s="7" t="str">
        <f xml:space="preserve"> IF(AND(ISTEXT(Table5[[#This Row],[Pin Name]]), ISNUMBER(Table5[[#This Row],[Arduino Pin]])), "#define PIN_" &amp; Table5[[#This Row],[Pin Name]] &amp; " " &amp; Table5[[#This Row],[Arduino Pin]], "")</f>
        <v>#define PIN_XOUT32 1</v>
      </c>
      <c r="X6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pinMode(PIN_XOUT32, INPUT);</v>
      </c>
      <c r="Y6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7" spans="1:25" x14ac:dyDescent="0.25">
      <c r="A7" s="1" t="s">
        <v>268</v>
      </c>
      <c r="B7" s="1"/>
      <c r="C7" s="1"/>
      <c r="D7" s="1"/>
      <c r="E7" s="1">
        <v>2</v>
      </c>
      <c r="F7" s="9">
        <v>3</v>
      </c>
      <c r="G7" s="9">
        <v>3</v>
      </c>
      <c r="H7" s="9">
        <v>3</v>
      </c>
      <c r="I7" s="9" t="s">
        <v>25</v>
      </c>
      <c r="J7" s="9" t="s">
        <v>75</v>
      </c>
      <c r="K7" s="9" t="s">
        <v>79</v>
      </c>
      <c r="L7" s="9"/>
      <c r="M7" s="9" t="s">
        <v>96</v>
      </c>
      <c r="N7" s="9"/>
      <c r="O7" s="9" t="s">
        <v>116</v>
      </c>
      <c r="P7" s="9" t="s">
        <v>148</v>
      </c>
      <c r="Q7" s="9"/>
      <c r="R7" s="9"/>
      <c r="S7" s="9"/>
      <c r="T7" s="9" t="s">
        <v>193</v>
      </c>
      <c r="U7" s="9"/>
      <c r="V7" s="10"/>
      <c r="W7" s="7" t="str">
        <f xml:space="preserve"> IF(AND(ISTEXT(Table5[[#This Row],[Pin Name]]), ISNUMBER(Table5[[#This Row],[Arduino Pin]])), "#define PIN_" &amp; Table5[[#This Row],[Pin Name]] &amp; " " &amp; Table5[[#This Row],[Arduino Pin]], "")</f>
        <v>#define PIN_VPSU_FB 2</v>
      </c>
      <c r="X7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pinMode(PIN_VPSU_FB, OUTPUT);</v>
      </c>
      <c r="Y7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8" spans="1:25" ht="15" customHeight="1" x14ac:dyDescent="0.25">
      <c r="A8" s="1" t="s">
        <v>267</v>
      </c>
      <c r="B8" s="1"/>
      <c r="C8" s="1"/>
      <c r="D8" s="1"/>
      <c r="E8" s="1">
        <v>3</v>
      </c>
      <c r="F8" s="9">
        <v>4</v>
      </c>
      <c r="G8" s="9">
        <v>4</v>
      </c>
      <c r="H8" s="9">
        <v>4</v>
      </c>
      <c r="I8" s="9" t="s">
        <v>26</v>
      </c>
      <c r="J8" s="9" t="s">
        <v>75</v>
      </c>
      <c r="K8" s="9" t="s">
        <v>80</v>
      </c>
      <c r="L8" s="11" t="s">
        <v>94</v>
      </c>
      <c r="M8" s="9" t="s">
        <v>97</v>
      </c>
      <c r="N8" s="9"/>
      <c r="O8" s="9" t="s">
        <v>117</v>
      </c>
      <c r="P8" s="9"/>
      <c r="Q8" s="9"/>
      <c r="R8" s="9"/>
      <c r="S8" s="9"/>
      <c r="T8" s="9" t="s">
        <v>194</v>
      </c>
      <c r="U8" s="9"/>
      <c r="V8" s="10"/>
      <c r="W8" s="7" t="str">
        <f xml:space="preserve"> IF(AND(ISTEXT(Table5[[#This Row],[Pin Name]]), ISNUMBER(Table5[[#This Row],[Arduino Pin]])), "#define PIN_" &amp; Table5[[#This Row],[Pin Name]] &amp; " " &amp; Table5[[#This Row],[Arduino Pin]], "")</f>
        <v>#define PIN_VREF 3</v>
      </c>
      <c r="X8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pinMode(PIN_VREF, OUTPUT);</v>
      </c>
      <c r="Y8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9" spans="1:25" hidden="1" x14ac:dyDescent="0.25">
      <c r="A9" s="1"/>
      <c r="B9" s="1"/>
      <c r="C9" s="1"/>
      <c r="D9" s="1"/>
      <c r="E9" s="1"/>
      <c r="F9" s="9"/>
      <c r="G9" s="9"/>
      <c r="H9" s="9">
        <v>5</v>
      </c>
      <c r="I9" s="9" t="s">
        <v>27</v>
      </c>
      <c r="J9" s="9" t="s">
        <v>75</v>
      </c>
      <c r="K9" s="9" t="s">
        <v>81</v>
      </c>
      <c r="L9" s="9"/>
      <c r="M9" s="9" t="s">
        <v>100</v>
      </c>
      <c r="N9" s="9"/>
      <c r="O9" s="9" t="s">
        <v>118</v>
      </c>
      <c r="P9" s="9"/>
      <c r="Q9" s="9"/>
      <c r="R9" s="9"/>
      <c r="S9" s="9"/>
      <c r="T9" s="9"/>
      <c r="U9" s="9"/>
      <c r="V9" s="10"/>
      <c r="W9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9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9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10" spans="1:25" hidden="1" x14ac:dyDescent="0.25">
      <c r="A10" s="1"/>
      <c r="B10" s="1"/>
      <c r="C10" s="1"/>
      <c r="D10" s="1"/>
      <c r="E10" s="1"/>
      <c r="F10" s="9"/>
      <c r="G10" s="9"/>
      <c r="H10" s="9">
        <v>6</v>
      </c>
      <c r="I10" s="9" t="s">
        <v>28</v>
      </c>
      <c r="J10" s="9" t="s">
        <v>75</v>
      </c>
      <c r="K10" s="9" t="s">
        <v>82</v>
      </c>
      <c r="L10" s="9"/>
      <c r="M10" s="9" t="s">
        <v>101</v>
      </c>
      <c r="N10" s="9"/>
      <c r="O10" s="9" t="s">
        <v>119</v>
      </c>
      <c r="P10" s="9"/>
      <c r="Q10" s="9"/>
      <c r="R10" s="9"/>
      <c r="S10" s="9"/>
      <c r="T10" s="9"/>
      <c r="U10" s="9"/>
      <c r="V10" s="10"/>
      <c r="W10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10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10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11" spans="1:25" hidden="1" x14ac:dyDescent="0.25">
      <c r="A11" s="1"/>
      <c r="B11" s="1"/>
      <c r="C11" s="1"/>
      <c r="D11" s="1"/>
      <c r="E11" s="1"/>
      <c r="F11" s="9"/>
      <c r="G11" s="9"/>
      <c r="H11" s="9">
        <v>9</v>
      </c>
      <c r="I11" s="9" t="s">
        <v>29</v>
      </c>
      <c r="J11" s="9" t="s">
        <v>75</v>
      </c>
      <c r="K11" s="9" t="s">
        <v>83</v>
      </c>
      <c r="L11" s="9"/>
      <c r="M11" s="9" t="s">
        <v>102</v>
      </c>
      <c r="N11" s="9"/>
      <c r="O11" s="9" t="s">
        <v>120</v>
      </c>
      <c r="P11" s="9"/>
      <c r="Q11" s="9"/>
      <c r="R11" s="9"/>
      <c r="S11" s="9"/>
      <c r="T11" s="9"/>
      <c r="U11" s="9"/>
      <c r="V11" s="10"/>
      <c r="W11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11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11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12" spans="1:25" hidden="1" x14ac:dyDescent="0.25">
      <c r="A12" s="1"/>
      <c r="B12" s="1"/>
      <c r="C12" s="1"/>
      <c r="D12" s="1"/>
      <c r="E12" s="1"/>
      <c r="F12" s="9"/>
      <c r="G12" s="9"/>
      <c r="H12" s="9">
        <v>10</v>
      </c>
      <c r="I12" s="9" t="s">
        <v>30</v>
      </c>
      <c r="J12" s="9" t="s">
        <v>75</v>
      </c>
      <c r="K12" s="9" t="s">
        <v>84</v>
      </c>
      <c r="L12" s="9"/>
      <c r="M12" s="9" t="s">
        <v>103</v>
      </c>
      <c r="N12" s="9"/>
      <c r="O12" s="9" t="s">
        <v>121</v>
      </c>
      <c r="P12" s="9"/>
      <c r="Q12" s="9"/>
      <c r="R12" s="9"/>
      <c r="S12" s="9"/>
      <c r="T12" s="9"/>
      <c r="U12" s="9"/>
      <c r="V12" s="10"/>
      <c r="W12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12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12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13" spans="1:25" hidden="1" x14ac:dyDescent="0.25">
      <c r="A13" s="1"/>
      <c r="B13" s="1"/>
      <c r="C13" s="1"/>
      <c r="D13" s="1"/>
      <c r="E13" s="1"/>
      <c r="F13" s="9"/>
      <c r="G13" s="9">
        <v>7</v>
      </c>
      <c r="H13" s="9">
        <v>11</v>
      </c>
      <c r="I13" s="9" t="s">
        <v>31</v>
      </c>
      <c r="J13" s="9" t="s">
        <v>75</v>
      </c>
      <c r="K13" s="9" t="s">
        <v>85</v>
      </c>
      <c r="L13" s="9"/>
      <c r="M13" s="9" t="s">
        <v>98</v>
      </c>
      <c r="N13" s="9"/>
      <c r="O13" s="9" t="s">
        <v>122</v>
      </c>
      <c r="P13" s="9"/>
      <c r="Q13" s="9"/>
      <c r="R13" s="9" t="s">
        <v>153</v>
      </c>
      <c r="S13" s="9" t="s">
        <v>175</v>
      </c>
      <c r="T13" s="9" t="s">
        <v>199</v>
      </c>
      <c r="U13" s="9"/>
      <c r="V13" s="10"/>
      <c r="W13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13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13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14" spans="1:25" hidden="1" x14ac:dyDescent="0.25">
      <c r="A14" s="1"/>
      <c r="B14" s="1"/>
      <c r="C14" s="1"/>
      <c r="D14" s="1"/>
      <c r="E14" s="1"/>
      <c r="F14" s="9"/>
      <c r="G14" s="9">
        <v>8</v>
      </c>
      <c r="H14" s="9">
        <v>12</v>
      </c>
      <c r="I14" s="9" t="s">
        <v>32</v>
      </c>
      <c r="J14" s="9" t="s">
        <v>75</v>
      </c>
      <c r="K14" s="9" t="s">
        <v>86</v>
      </c>
      <c r="L14" s="9"/>
      <c r="M14" s="9" t="s">
        <v>99</v>
      </c>
      <c r="N14" s="9"/>
      <c r="O14" s="9" t="s">
        <v>123</v>
      </c>
      <c r="P14" s="9"/>
      <c r="Q14" s="9"/>
      <c r="R14" s="9" t="s">
        <v>154</v>
      </c>
      <c r="S14" s="9" t="s">
        <v>176</v>
      </c>
      <c r="T14" s="9" t="s">
        <v>200</v>
      </c>
      <c r="U14" s="9"/>
      <c r="V14" s="10"/>
      <c r="W14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14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14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15" spans="1:25" x14ac:dyDescent="0.25">
      <c r="A15" s="1" t="s">
        <v>269</v>
      </c>
      <c r="B15" s="1"/>
      <c r="C15" s="1"/>
      <c r="D15" s="1"/>
      <c r="E15" s="1">
        <v>4</v>
      </c>
      <c r="F15" s="9">
        <v>5</v>
      </c>
      <c r="G15" s="9">
        <v>9</v>
      </c>
      <c r="H15" s="9">
        <v>13</v>
      </c>
      <c r="I15" s="9" t="s">
        <v>33</v>
      </c>
      <c r="J15" s="9" t="s">
        <v>75</v>
      </c>
      <c r="K15" s="9" t="s">
        <v>81</v>
      </c>
      <c r="L15" s="9" t="s">
        <v>95</v>
      </c>
      <c r="M15" s="9" t="s">
        <v>104</v>
      </c>
      <c r="N15" s="9" t="s">
        <v>96</v>
      </c>
      <c r="O15" s="9" t="s">
        <v>124</v>
      </c>
      <c r="P15" s="9"/>
      <c r="Q15" s="9"/>
      <c r="R15" s="9" t="s">
        <v>149</v>
      </c>
      <c r="S15" s="9" t="s">
        <v>177</v>
      </c>
      <c r="T15" s="9" t="s">
        <v>195</v>
      </c>
      <c r="U15" s="9"/>
      <c r="V15" s="10"/>
      <c r="W15" s="7" t="str">
        <f xml:space="preserve"> IF(AND(ISTEXT(Table5[[#This Row],[Pin Name]]), ISNUMBER(Table5[[#This Row],[Arduino Pin]])), "#define PIN_" &amp; Table5[[#This Row],[Pin Name]] &amp; " " &amp; Table5[[#This Row],[Arduino Pin]], "")</f>
        <v>#define PIN_NTC_HEAT 4</v>
      </c>
      <c r="X15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pinMode(PIN_NTC_HEAT, OUTPUT);</v>
      </c>
      <c r="Y15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16" spans="1:25" x14ac:dyDescent="0.25">
      <c r="A16" s="1" t="s">
        <v>270</v>
      </c>
      <c r="B16" s="1"/>
      <c r="C16" s="1"/>
      <c r="D16" s="1"/>
      <c r="E16" s="1">
        <v>5</v>
      </c>
      <c r="F16" s="9">
        <v>6</v>
      </c>
      <c r="G16" s="9">
        <v>10</v>
      </c>
      <c r="H16" s="9">
        <v>14</v>
      </c>
      <c r="I16" s="9" t="s">
        <v>34</v>
      </c>
      <c r="J16" s="9" t="s">
        <v>75</v>
      </c>
      <c r="K16" s="9" t="s">
        <v>82</v>
      </c>
      <c r="L16" s="9"/>
      <c r="M16" s="9" t="s">
        <v>105</v>
      </c>
      <c r="N16" s="9" t="s">
        <v>97</v>
      </c>
      <c r="O16" s="9" t="s">
        <v>125</v>
      </c>
      <c r="P16" s="9"/>
      <c r="Q16" s="9"/>
      <c r="R16" s="9" t="s">
        <v>150</v>
      </c>
      <c r="S16" s="9" t="s">
        <v>182</v>
      </c>
      <c r="T16" s="9" t="s">
        <v>196</v>
      </c>
      <c r="U16" s="9"/>
      <c r="V16" s="10"/>
      <c r="W16" s="7" t="str">
        <f xml:space="preserve"> IF(AND(ISTEXT(Table5[[#This Row],[Pin Name]]), ISNUMBER(Table5[[#This Row],[Arduino Pin]])), "#define PIN_" &amp; Table5[[#This Row],[Pin Name]] &amp; " " &amp; Table5[[#This Row],[Arduino Pin]], "")</f>
        <v>#define PIN_NTC_AMB 5</v>
      </c>
      <c r="X16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pinMode(PIN_NTC_AMB, OUTPUT);</v>
      </c>
      <c r="Y16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17" spans="1:25" x14ac:dyDescent="0.25">
      <c r="A17" s="1" t="s">
        <v>271</v>
      </c>
      <c r="B17" s="1"/>
      <c r="C17" s="1"/>
      <c r="D17" s="1"/>
      <c r="E17" s="1">
        <v>6</v>
      </c>
      <c r="F17" s="9">
        <v>7</v>
      </c>
      <c r="G17" s="9">
        <v>11</v>
      </c>
      <c r="H17" s="9">
        <v>15</v>
      </c>
      <c r="I17" s="9" t="s">
        <v>35</v>
      </c>
      <c r="J17" s="9" t="s">
        <v>75</v>
      </c>
      <c r="K17" s="9" t="s">
        <v>83</v>
      </c>
      <c r="L17" s="9"/>
      <c r="M17" s="9" t="s">
        <v>106</v>
      </c>
      <c r="N17" s="9" t="s">
        <v>98</v>
      </c>
      <c r="O17" s="9" t="s">
        <v>126</v>
      </c>
      <c r="P17" s="9"/>
      <c r="Q17" s="9"/>
      <c r="R17" s="9" t="s">
        <v>151</v>
      </c>
      <c r="S17" s="9" t="s">
        <v>183</v>
      </c>
      <c r="T17" s="9" t="s">
        <v>197</v>
      </c>
      <c r="U17" s="9"/>
      <c r="V17" s="10"/>
      <c r="W17" s="7" t="str">
        <f xml:space="preserve"> IF(AND(ISTEXT(Table5[[#This Row],[Pin Name]]), ISNUMBER(Table5[[#This Row],[Arduino Pin]])), "#define PIN_" &amp; Table5[[#This Row],[Pin Name]] &amp; " " &amp; Table5[[#This Row],[Arduino Pin]], "")</f>
        <v>#define PIN_V_O2_SENS 6</v>
      </c>
      <c r="X17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pinMode(PIN_V_O2_SENS, OUTPUT);</v>
      </c>
      <c r="Y17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18" spans="1:25" x14ac:dyDescent="0.25">
      <c r="A18" s="1" t="s">
        <v>276</v>
      </c>
      <c r="B18" s="1"/>
      <c r="C18" s="1"/>
      <c r="D18" s="1"/>
      <c r="E18" s="1">
        <v>7</v>
      </c>
      <c r="F18" s="9">
        <v>8</v>
      </c>
      <c r="G18" s="9">
        <v>12</v>
      </c>
      <c r="H18" s="9">
        <v>16</v>
      </c>
      <c r="I18" s="9" t="s">
        <v>36</v>
      </c>
      <c r="J18" s="9" t="s">
        <v>75</v>
      </c>
      <c r="K18" s="9" t="s">
        <v>84</v>
      </c>
      <c r="L18" s="9"/>
      <c r="M18" s="9" t="s">
        <v>107</v>
      </c>
      <c r="N18" s="9" t="s">
        <v>99</v>
      </c>
      <c r="O18" s="9" t="s">
        <v>127</v>
      </c>
      <c r="P18" s="9"/>
      <c r="Q18" s="9"/>
      <c r="R18" s="9" t="s">
        <v>152</v>
      </c>
      <c r="S18" s="9" t="s">
        <v>184</v>
      </c>
      <c r="T18" s="9" t="s">
        <v>198</v>
      </c>
      <c r="U18" s="9" t="s">
        <v>205</v>
      </c>
      <c r="V18" s="10"/>
      <c r="W18" s="7" t="str">
        <f xml:space="preserve"> IF(AND(ISTEXT(Table5[[#This Row],[Pin Name]]), ISNUMBER(Table5[[#This Row],[Arduino Pin]])), "#define PIN_" &amp; Table5[[#This Row],[Pin Name]] &amp; " " &amp; Table5[[#This Row],[Arduino Pin]], "")</f>
        <v>#define PIN_RS485_TERM 7</v>
      </c>
      <c r="X18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pinMode(PIN_RS485_TERM, OUTPUT);</v>
      </c>
      <c r="Y18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19" spans="1:25" x14ac:dyDescent="0.25">
      <c r="A19" s="1" t="s">
        <v>272</v>
      </c>
      <c r="B19" s="1"/>
      <c r="C19" s="1"/>
      <c r="D19" s="1"/>
      <c r="E19" s="1">
        <v>8</v>
      </c>
      <c r="F19" s="9">
        <v>11</v>
      </c>
      <c r="G19" s="9">
        <v>13</v>
      </c>
      <c r="H19" s="9">
        <v>17</v>
      </c>
      <c r="I19" s="9" t="s">
        <v>37</v>
      </c>
      <c r="J19" s="9" t="s">
        <v>76</v>
      </c>
      <c r="K19" s="9" t="s">
        <v>87</v>
      </c>
      <c r="L19" s="9"/>
      <c r="M19" s="9" t="s">
        <v>109</v>
      </c>
      <c r="N19" s="9"/>
      <c r="O19" s="9" t="s">
        <v>128</v>
      </c>
      <c r="P19" s="9"/>
      <c r="Q19" s="19" t="s">
        <v>149</v>
      </c>
      <c r="R19" s="9" t="s">
        <v>157</v>
      </c>
      <c r="S19" s="9" t="s">
        <v>177</v>
      </c>
      <c r="T19" s="9" t="s">
        <v>201</v>
      </c>
      <c r="U19" s="9" t="s">
        <v>206</v>
      </c>
      <c r="V19" s="10"/>
      <c r="W19" s="7" t="str">
        <f xml:space="preserve"> IF(AND(ISTEXT(Table5[[#This Row],[Pin Name]]), ISNUMBER(Table5[[#This Row],[Arduino Pin]])), "#define PIN_" &amp; Table5[[#This Row],[Pin Name]] &amp; " " &amp; Table5[[#This Row],[Arduino Pin]], "")</f>
        <v>#define PIN_RS485_TX 8</v>
      </c>
      <c r="X19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pinMode(PIN_RS485_TX, OUTPUT);</v>
      </c>
      <c r="Y19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20" spans="1:25" x14ac:dyDescent="0.25">
      <c r="A20" s="1" t="s">
        <v>273</v>
      </c>
      <c r="B20" s="1"/>
      <c r="C20" s="1"/>
      <c r="D20" s="1"/>
      <c r="E20" s="1">
        <v>9</v>
      </c>
      <c r="F20" s="9">
        <v>12</v>
      </c>
      <c r="G20" s="9">
        <v>14</v>
      </c>
      <c r="H20" s="9">
        <v>18</v>
      </c>
      <c r="I20" s="9" t="s">
        <v>38</v>
      </c>
      <c r="J20" s="9" t="s">
        <v>76</v>
      </c>
      <c r="K20" s="9" t="s">
        <v>86</v>
      </c>
      <c r="L20" s="9"/>
      <c r="M20" s="9" t="s">
        <v>110</v>
      </c>
      <c r="N20" s="9"/>
      <c r="O20" s="9" t="s">
        <v>129</v>
      </c>
      <c r="P20" s="9"/>
      <c r="Q20" s="19" t="s">
        <v>150</v>
      </c>
      <c r="R20" s="9" t="s">
        <v>158</v>
      </c>
      <c r="S20" s="9" t="s">
        <v>182</v>
      </c>
      <c r="T20" s="9" t="s">
        <v>202</v>
      </c>
      <c r="U20" s="11" t="s">
        <v>207</v>
      </c>
      <c r="V20" s="10"/>
      <c r="W20" s="7" t="str">
        <f xml:space="preserve"> IF(AND(ISTEXT(Table5[[#This Row],[Pin Name]]), ISNUMBER(Table5[[#This Row],[Arduino Pin]])), "#define PIN_" &amp; Table5[[#This Row],[Pin Name]] &amp; " " &amp; Table5[[#This Row],[Arduino Pin]], "")</f>
        <v>#define PIN_RS485_RX 9</v>
      </c>
      <c r="X20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pinMode(PIN_RS485_RX, OUTPUT);</v>
      </c>
      <c r="Y20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21" spans="1:25" x14ac:dyDescent="0.25">
      <c r="A21" s="1" t="s">
        <v>277</v>
      </c>
      <c r="B21" s="1"/>
      <c r="C21" s="1"/>
      <c r="D21" s="1"/>
      <c r="E21" s="1">
        <v>10</v>
      </c>
      <c r="F21" s="9">
        <v>13</v>
      </c>
      <c r="G21" s="9">
        <v>15</v>
      </c>
      <c r="H21" s="9">
        <v>19</v>
      </c>
      <c r="I21" s="9" t="s">
        <v>39</v>
      </c>
      <c r="J21" s="9" t="s">
        <v>76</v>
      </c>
      <c r="K21" s="9" t="s">
        <v>88</v>
      </c>
      <c r="L21" s="9"/>
      <c r="M21" s="9" t="s">
        <v>111</v>
      </c>
      <c r="N21" s="9"/>
      <c r="O21" s="9" t="s">
        <v>130</v>
      </c>
      <c r="P21" s="9"/>
      <c r="Q21" s="9" t="s">
        <v>151</v>
      </c>
      <c r="R21" s="9" t="s">
        <v>159</v>
      </c>
      <c r="S21" s="9" t="s">
        <v>183</v>
      </c>
      <c r="T21" s="9" t="s">
        <v>178</v>
      </c>
      <c r="U21" s="11" t="s">
        <v>208</v>
      </c>
      <c r="V21" s="10" t="s">
        <v>218</v>
      </c>
      <c r="W21" s="7" t="str">
        <f xml:space="preserve"> IF(AND(ISTEXT(Table5[[#This Row],[Pin Name]]), ISNUMBER(Table5[[#This Row],[Arduino Pin]])), "#define PIN_" &amp; Table5[[#This Row],[Pin Name]] &amp; " " &amp; Table5[[#This Row],[Arduino Pin]], "")</f>
        <v>#define PIN_RS485_DE 10</v>
      </c>
      <c r="X21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pinMode(PIN_RS485_DE, OUTPUT);</v>
      </c>
      <c r="Y21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22" spans="1:25" x14ac:dyDescent="0.25">
      <c r="A22" s="1" t="s">
        <v>278</v>
      </c>
      <c r="B22" s="1"/>
      <c r="C22" s="1"/>
      <c r="D22" s="1"/>
      <c r="E22" s="1">
        <v>11</v>
      </c>
      <c r="F22" s="9">
        <v>14</v>
      </c>
      <c r="G22" s="9">
        <v>16</v>
      </c>
      <c r="H22" s="9">
        <v>20</v>
      </c>
      <c r="I22" s="9" t="s">
        <v>40</v>
      </c>
      <c r="J22" s="9" t="s">
        <v>76</v>
      </c>
      <c r="K22" s="9" t="s">
        <v>89</v>
      </c>
      <c r="L22" s="9"/>
      <c r="M22" s="9" t="s">
        <v>112</v>
      </c>
      <c r="N22" s="9"/>
      <c r="O22" s="9" t="s">
        <v>131</v>
      </c>
      <c r="P22" s="9"/>
      <c r="Q22" s="9" t="s">
        <v>152</v>
      </c>
      <c r="R22" s="9" t="s">
        <v>160</v>
      </c>
      <c r="S22" s="9" t="s">
        <v>184</v>
      </c>
      <c r="T22" s="9" t="s">
        <v>180</v>
      </c>
      <c r="U22" s="9" t="s">
        <v>209</v>
      </c>
      <c r="V22" s="10" t="s">
        <v>219</v>
      </c>
      <c r="W22" s="7" t="str">
        <f xml:space="preserve"> IF(AND(ISTEXT(Table5[[#This Row],[Pin Name]]), ISNUMBER(Table5[[#This Row],[Arduino Pin]])), "#define PIN_" &amp; Table5[[#This Row],[Pin Name]] &amp; " " &amp; Table5[[#This Row],[Arduino Pin]], "")</f>
        <v>#define PIN_HEAT_PWM 11</v>
      </c>
      <c r="X22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pinMode(PIN_HEAT_PWM, OUTPUT);</v>
      </c>
      <c r="Y22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23" spans="1:25" hidden="1" x14ac:dyDescent="0.25">
      <c r="A23" s="1"/>
      <c r="B23" s="1"/>
      <c r="C23" s="1"/>
      <c r="D23" s="1"/>
      <c r="E23" s="1"/>
      <c r="F23" s="9"/>
      <c r="G23" s="9">
        <v>19</v>
      </c>
      <c r="H23" s="9">
        <v>23</v>
      </c>
      <c r="I23" s="9" t="s">
        <v>41</v>
      </c>
      <c r="J23" s="9" t="s">
        <v>76</v>
      </c>
      <c r="K23" s="9" t="s">
        <v>88</v>
      </c>
      <c r="L23" s="9"/>
      <c r="M23" s="9"/>
      <c r="N23" s="9"/>
      <c r="O23" s="9"/>
      <c r="P23" s="9"/>
      <c r="Q23" s="9"/>
      <c r="R23" s="9" t="s">
        <v>155</v>
      </c>
      <c r="S23" s="9" t="s">
        <v>185</v>
      </c>
      <c r="T23" s="9" t="s">
        <v>179</v>
      </c>
      <c r="U23" s="11" t="s">
        <v>210</v>
      </c>
      <c r="V23" s="10" t="s">
        <v>218</v>
      </c>
      <c r="W23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23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23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24" spans="1:25" hidden="1" x14ac:dyDescent="0.25">
      <c r="A24" s="1"/>
      <c r="B24" s="1"/>
      <c r="C24" s="1"/>
      <c r="D24" s="1"/>
      <c r="E24" s="1"/>
      <c r="F24" s="9"/>
      <c r="G24" s="9">
        <v>20</v>
      </c>
      <c r="H24" s="9">
        <v>24</v>
      </c>
      <c r="I24" s="9" t="s">
        <v>42</v>
      </c>
      <c r="J24" s="9" t="s">
        <v>76</v>
      </c>
      <c r="K24" s="9" t="s">
        <v>89</v>
      </c>
      <c r="L24" s="9"/>
      <c r="M24" s="9"/>
      <c r="N24" s="9"/>
      <c r="O24" s="9"/>
      <c r="P24" s="9"/>
      <c r="Q24" s="9"/>
      <c r="R24" s="9" t="s">
        <v>156</v>
      </c>
      <c r="S24" s="9" t="s">
        <v>186</v>
      </c>
      <c r="T24" s="9" t="s">
        <v>181</v>
      </c>
      <c r="U24" s="11" t="s">
        <v>211</v>
      </c>
      <c r="V24" s="10" t="s">
        <v>219</v>
      </c>
      <c r="W24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24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24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25" spans="1:25" hidden="1" x14ac:dyDescent="0.25">
      <c r="A25" s="1"/>
      <c r="B25" s="1"/>
      <c r="C25" s="1"/>
      <c r="D25" s="1"/>
      <c r="E25" s="1"/>
      <c r="F25" s="9"/>
      <c r="G25" s="9"/>
      <c r="H25" s="9">
        <v>25</v>
      </c>
      <c r="I25" s="9" t="s">
        <v>43</v>
      </c>
      <c r="J25" s="9" t="s">
        <v>76</v>
      </c>
      <c r="K25" s="9" t="s">
        <v>90</v>
      </c>
      <c r="L25" s="9"/>
      <c r="M25" s="9"/>
      <c r="N25" s="9"/>
      <c r="O25" s="9" t="s">
        <v>132</v>
      </c>
      <c r="P25" s="9"/>
      <c r="Q25" s="9" t="s">
        <v>153</v>
      </c>
      <c r="R25" s="9"/>
      <c r="S25" s="9" t="s">
        <v>175</v>
      </c>
      <c r="T25" s="9" t="s">
        <v>203</v>
      </c>
      <c r="U25" s="9" t="s">
        <v>212</v>
      </c>
      <c r="V25" s="10" t="s">
        <v>220</v>
      </c>
      <c r="W25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25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25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26" spans="1:25" hidden="1" x14ac:dyDescent="0.25">
      <c r="A26" s="1"/>
      <c r="B26" s="1"/>
      <c r="C26" s="1"/>
      <c r="D26" s="1"/>
      <c r="E26" s="1"/>
      <c r="F26" s="9"/>
      <c r="G26" s="9"/>
      <c r="H26" s="9">
        <v>26</v>
      </c>
      <c r="I26" s="9" t="s">
        <v>44</v>
      </c>
      <c r="J26" s="9" t="s">
        <v>76</v>
      </c>
      <c r="K26" s="9" t="s">
        <v>91</v>
      </c>
      <c r="L26" s="9"/>
      <c r="M26" s="9"/>
      <c r="N26" s="9"/>
      <c r="O26" s="9" t="s">
        <v>133</v>
      </c>
      <c r="P26" s="9"/>
      <c r="Q26" s="9" t="s">
        <v>154</v>
      </c>
      <c r="R26" s="9"/>
      <c r="S26" s="9" t="s">
        <v>176</v>
      </c>
      <c r="T26" s="9" t="s">
        <v>204</v>
      </c>
      <c r="U26" s="9"/>
      <c r="V26" s="10" t="s">
        <v>221</v>
      </c>
      <c r="W26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26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26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27" spans="1:25" hidden="1" x14ac:dyDescent="0.25">
      <c r="A27" s="1"/>
      <c r="B27" s="1"/>
      <c r="C27" s="1"/>
      <c r="D27" s="1"/>
      <c r="E27" s="1"/>
      <c r="F27" s="9"/>
      <c r="G27" s="9"/>
      <c r="H27" s="9">
        <v>27</v>
      </c>
      <c r="I27" s="9" t="s">
        <v>45</v>
      </c>
      <c r="J27" s="9" t="s">
        <v>76</v>
      </c>
      <c r="K27" s="9" t="s">
        <v>92</v>
      </c>
      <c r="L27" s="9"/>
      <c r="M27" s="9"/>
      <c r="N27" s="9"/>
      <c r="O27" s="9" t="s">
        <v>134</v>
      </c>
      <c r="P27" s="9"/>
      <c r="Q27" s="9" t="s">
        <v>155</v>
      </c>
      <c r="R27" s="9"/>
      <c r="S27" s="9" t="s">
        <v>185</v>
      </c>
      <c r="T27" s="9"/>
      <c r="U27" s="9"/>
      <c r="V27" s="10" t="s">
        <v>222</v>
      </c>
      <c r="W27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27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27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28" spans="1:25" hidden="1" x14ac:dyDescent="0.25">
      <c r="A28" s="1"/>
      <c r="B28" s="1"/>
      <c r="C28" s="1"/>
      <c r="D28" s="1"/>
      <c r="E28" s="1"/>
      <c r="F28" s="9"/>
      <c r="G28" s="9"/>
      <c r="H28" s="9">
        <v>28</v>
      </c>
      <c r="I28" s="9" t="s">
        <v>46</v>
      </c>
      <c r="J28" s="9" t="s">
        <v>76</v>
      </c>
      <c r="K28" s="9" t="s">
        <v>93</v>
      </c>
      <c r="L28" s="9"/>
      <c r="M28" s="9"/>
      <c r="N28" s="9"/>
      <c r="O28" s="9" t="s">
        <v>135</v>
      </c>
      <c r="P28" s="9"/>
      <c r="Q28" s="9" t="s">
        <v>156</v>
      </c>
      <c r="R28" s="9"/>
      <c r="S28" s="9" t="s">
        <v>186</v>
      </c>
      <c r="T28" s="9"/>
      <c r="U28" s="9"/>
      <c r="V28" s="10" t="s">
        <v>223</v>
      </c>
      <c r="W28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28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28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29" spans="1:25" hidden="1" x14ac:dyDescent="0.25">
      <c r="A29" s="1"/>
      <c r="B29" s="1"/>
      <c r="C29" s="1"/>
      <c r="D29" s="1"/>
      <c r="E29" s="1"/>
      <c r="F29" s="9"/>
      <c r="G29" s="9">
        <v>21</v>
      </c>
      <c r="H29" s="9">
        <v>29</v>
      </c>
      <c r="I29" s="9" t="s">
        <v>47</v>
      </c>
      <c r="J29" s="9" t="s">
        <v>76</v>
      </c>
      <c r="K29" s="9" t="s">
        <v>90</v>
      </c>
      <c r="L29" s="9"/>
      <c r="M29" s="9"/>
      <c r="N29" s="9"/>
      <c r="O29" s="9"/>
      <c r="P29" s="9"/>
      <c r="Q29" s="9" t="s">
        <v>157</v>
      </c>
      <c r="R29" s="9" t="s">
        <v>153</v>
      </c>
      <c r="S29" s="9" t="s">
        <v>173</v>
      </c>
      <c r="T29" s="9" t="s">
        <v>203</v>
      </c>
      <c r="U29" s="9"/>
      <c r="V29" s="10" t="s">
        <v>224</v>
      </c>
      <c r="W29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29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29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30" spans="1:25" hidden="1" x14ac:dyDescent="0.25">
      <c r="A30" s="1"/>
      <c r="B30" s="1"/>
      <c r="C30" s="1"/>
      <c r="D30" s="1"/>
      <c r="E30" s="1"/>
      <c r="F30" s="9"/>
      <c r="G30" s="9">
        <v>22</v>
      </c>
      <c r="H30" s="9">
        <v>30</v>
      </c>
      <c r="I30" s="9" t="s">
        <v>48</v>
      </c>
      <c r="J30" s="9" t="s">
        <v>76</v>
      </c>
      <c r="K30" s="9" t="s">
        <v>91</v>
      </c>
      <c r="L30" s="9"/>
      <c r="M30" s="9"/>
      <c r="N30" s="9"/>
      <c r="O30" s="9"/>
      <c r="P30" s="9"/>
      <c r="Q30" s="9" t="s">
        <v>158</v>
      </c>
      <c r="R30" s="9" t="s">
        <v>154</v>
      </c>
      <c r="S30" s="9" t="s">
        <v>174</v>
      </c>
      <c r="T30" s="9" t="s">
        <v>204</v>
      </c>
      <c r="U30" s="9"/>
      <c r="V30" s="10" t="s">
        <v>225</v>
      </c>
      <c r="W30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30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30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31" spans="1:25" x14ac:dyDescent="0.25">
      <c r="A31" s="1" t="s">
        <v>279</v>
      </c>
      <c r="B31" s="1"/>
      <c r="C31" s="1"/>
      <c r="D31" s="1"/>
      <c r="E31" s="1">
        <v>14</v>
      </c>
      <c r="F31" s="9">
        <v>15</v>
      </c>
      <c r="G31" s="9">
        <v>23</v>
      </c>
      <c r="H31" s="9">
        <v>31</v>
      </c>
      <c r="I31" s="9" t="s">
        <v>49</v>
      </c>
      <c r="J31" s="9" t="s">
        <v>76</v>
      </c>
      <c r="K31" s="9" t="s">
        <v>92</v>
      </c>
      <c r="L31" s="9"/>
      <c r="M31" s="9"/>
      <c r="N31" s="9"/>
      <c r="O31" s="9"/>
      <c r="P31" s="9"/>
      <c r="Q31" s="26" t="s">
        <v>159</v>
      </c>
      <c r="R31" s="9" t="s">
        <v>155</v>
      </c>
      <c r="S31" s="9" t="s">
        <v>187</v>
      </c>
      <c r="T31" s="9" t="s">
        <v>179</v>
      </c>
      <c r="U31" s="9"/>
      <c r="V31" s="10" t="s">
        <v>222</v>
      </c>
      <c r="W31" s="7" t="str">
        <f xml:space="preserve"> IF(AND(ISTEXT(Table5[[#This Row],[Pin Name]]), ISNUMBER(Table5[[#This Row],[Arduino Pin]])), "#define PIN_" &amp; Table5[[#This Row],[Pin Name]] &amp; " " &amp; Table5[[#This Row],[Arduino Pin]], "")</f>
        <v>#define PIN_LED_DAT 14</v>
      </c>
      <c r="X31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pinMode(PIN_LED_DAT, OUTPUT);</v>
      </c>
      <c r="Y31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32" spans="1:25" x14ac:dyDescent="0.25">
      <c r="A32" s="1"/>
      <c r="B32" s="1"/>
      <c r="C32" s="1"/>
      <c r="D32" s="1"/>
      <c r="E32" s="1">
        <v>15</v>
      </c>
      <c r="F32" s="9">
        <v>16</v>
      </c>
      <c r="G32" s="9">
        <v>24</v>
      </c>
      <c r="H32" s="9">
        <v>32</v>
      </c>
      <c r="I32" s="9" t="s">
        <v>50</v>
      </c>
      <c r="J32" s="9" t="s">
        <v>76</v>
      </c>
      <c r="K32" s="9" t="s">
        <v>93</v>
      </c>
      <c r="L32" s="9"/>
      <c r="M32" s="9"/>
      <c r="N32" s="9"/>
      <c r="O32" s="9"/>
      <c r="P32" s="9"/>
      <c r="Q32" s="9" t="s">
        <v>160</v>
      </c>
      <c r="R32" s="9" t="s">
        <v>156</v>
      </c>
      <c r="S32" s="9" t="s">
        <v>188</v>
      </c>
      <c r="T32" s="9" t="s">
        <v>181</v>
      </c>
      <c r="U32" s="9"/>
      <c r="V32" s="10" t="s">
        <v>223</v>
      </c>
      <c r="W32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32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32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33" spans="1:25" x14ac:dyDescent="0.25">
      <c r="A33" s="1" t="s">
        <v>274</v>
      </c>
      <c r="B33" s="1"/>
      <c r="C33" s="1"/>
      <c r="D33" s="1"/>
      <c r="E33" s="1">
        <v>16</v>
      </c>
      <c r="F33" s="9">
        <v>17</v>
      </c>
      <c r="G33" s="9">
        <v>25</v>
      </c>
      <c r="H33" s="9">
        <v>35</v>
      </c>
      <c r="I33" s="9" t="s">
        <v>51</v>
      </c>
      <c r="J33" s="9" t="s">
        <v>76</v>
      </c>
      <c r="K33" s="9" t="s">
        <v>77</v>
      </c>
      <c r="L33" s="9"/>
      <c r="M33" s="9"/>
      <c r="N33" s="9"/>
      <c r="O33" s="9" t="s">
        <v>136</v>
      </c>
      <c r="P33" s="9"/>
      <c r="Q33" s="18" t="s">
        <v>161</v>
      </c>
      <c r="R33" s="9" t="s">
        <v>169</v>
      </c>
      <c r="S33" s="9" t="s">
        <v>173</v>
      </c>
      <c r="T33" s="9" t="s">
        <v>203</v>
      </c>
      <c r="U33" s="9"/>
      <c r="V33" s="10" t="s">
        <v>226</v>
      </c>
      <c r="W33" s="7" t="str">
        <f xml:space="preserve"> IF(AND(ISTEXT(Table5[[#This Row],[Pin Name]]), ISNUMBER(Table5[[#This Row],[Arduino Pin]])), "#define PIN_" &amp; Table5[[#This Row],[Pin Name]] &amp; " " &amp; Table5[[#This Row],[Arduino Pin]], "")</f>
        <v>#define PIN_UART_CO2_TX 16</v>
      </c>
      <c r="X33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pinMode(PIN_UART_CO2_TX, OUTPUT);</v>
      </c>
      <c r="Y33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34" spans="1:25" x14ac:dyDescent="0.25">
      <c r="A34" s="1" t="s">
        <v>275</v>
      </c>
      <c r="B34" s="1"/>
      <c r="C34" s="1"/>
      <c r="D34" s="1"/>
      <c r="E34" s="1">
        <v>17</v>
      </c>
      <c r="F34" s="9">
        <v>18</v>
      </c>
      <c r="G34" s="9">
        <v>26</v>
      </c>
      <c r="H34" s="9">
        <v>36</v>
      </c>
      <c r="I34" s="9" t="s">
        <v>52</v>
      </c>
      <c r="J34" s="9" t="s">
        <v>76</v>
      </c>
      <c r="K34" s="9" t="s">
        <v>78</v>
      </c>
      <c r="L34" s="9"/>
      <c r="M34" s="9"/>
      <c r="N34" s="9"/>
      <c r="O34" s="9" t="s">
        <v>137</v>
      </c>
      <c r="P34" s="9"/>
      <c r="Q34" s="18" t="s">
        <v>162</v>
      </c>
      <c r="R34" s="9" t="s">
        <v>170</v>
      </c>
      <c r="S34" s="9" t="s">
        <v>174</v>
      </c>
      <c r="T34" s="9" t="s">
        <v>204</v>
      </c>
      <c r="U34" s="9"/>
      <c r="V34" s="10" t="s">
        <v>227</v>
      </c>
      <c r="W34" s="7" t="str">
        <f xml:space="preserve"> IF(AND(ISTEXT(Table5[[#This Row],[Pin Name]]), ISNUMBER(Table5[[#This Row],[Arduino Pin]])), "#define PIN_" &amp; Table5[[#This Row],[Pin Name]] &amp; " " &amp; Table5[[#This Row],[Arduino Pin]], "")</f>
        <v>#define PIN_UART_CO2_RX 17</v>
      </c>
      <c r="X34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pinMode(PIN_UART_CO2_RX, OUTPUT);</v>
      </c>
      <c r="Y34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35" spans="1:25" x14ac:dyDescent="0.25">
      <c r="A35" s="1"/>
      <c r="B35" s="1"/>
      <c r="C35" s="1"/>
      <c r="D35" s="1"/>
      <c r="E35" s="1">
        <v>18</v>
      </c>
      <c r="F35" s="9">
        <v>19</v>
      </c>
      <c r="G35" s="9">
        <v>27</v>
      </c>
      <c r="H35" s="9">
        <v>37</v>
      </c>
      <c r="I35" s="9" t="s">
        <v>53</v>
      </c>
      <c r="J35" s="9" t="s">
        <v>76</v>
      </c>
      <c r="K35" s="9" t="s">
        <v>79</v>
      </c>
      <c r="L35" s="9"/>
      <c r="M35" s="9"/>
      <c r="N35" s="9"/>
      <c r="O35" s="9" t="s">
        <v>138</v>
      </c>
      <c r="P35" s="9"/>
      <c r="Q35" s="9" t="s">
        <v>163</v>
      </c>
      <c r="R35" s="9" t="s">
        <v>171</v>
      </c>
      <c r="S35" s="9" t="s">
        <v>187</v>
      </c>
      <c r="T35" s="9" t="s">
        <v>178</v>
      </c>
      <c r="U35" s="9"/>
      <c r="V35" s="10" t="s">
        <v>224</v>
      </c>
      <c r="W35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35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35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36" spans="1:25" x14ac:dyDescent="0.25">
      <c r="A36" s="1"/>
      <c r="B36" s="1"/>
      <c r="C36" s="1"/>
      <c r="D36" s="1"/>
      <c r="E36" s="1">
        <v>19</v>
      </c>
      <c r="F36" s="9">
        <v>20</v>
      </c>
      <c r="G36" s="9">
        <v>28</v>
      </c>
      <c r="H36" s="9">
        <v>38</v>
      </c>
      <c r="I36" s="9" t="s">
        <v>54</v>
      </c>
      <c r="J36" s="9" t="s">
        <v>76</v>
      </c>
      <c r="K36" s="9" t="s">
        <v>80</v>
      </c>
      <c r="L36" s="9"/>
      <c r="M36" s="9"/>
      <c r="N36" s="9"/>
      <c r="O36" s="9" t="s">
        <v>139</v>
      </c>
      <c r="P36" s="9"/>
      <c r="Q36" s="9" t="s">
        <v>164</v>
      </c>
      <c r="R36" s="9" t="s">
        <v>172</v>
      </c>
      <c r="S36" s="9" t="s">
        <v>188</v>
      </c>
      <c r="T36" s="9" t="s">
        <v>180</v>
      </c>
      <c r="U36" s="9" t="s">
        <v>205</v>
      </c>
      <c r="V36" s="10" t="s">
        <v>225</v>
      </c>
      <c r="W36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36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36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37" spans="1:25" hidden="1" x14ac:dyDescent="0.25">
      <c r="A37" s="1"/>
      <c r="B37" s="1"/>
      <c r="C37" s="1"/>
      <c r="D37" s="1"/>
      <c r="E37" s="1"/>
      <c r="F37" s="9"/>
      <c r="G37" s="9"/>
      <c r="H37" s="9">
        <v>39</v>
      </c>
      <c r="I37" s="9" t="s">
        <v>55</v>
      </c>
      <c r="J37" s="9" t="s">
        <v>76</v>
      </c>
      <c r="K37" s="9" t="s">
        <v>77</v>
      </c>
      <c r="L37" s="9"/>
      <c r="M37" s="9"/>
      <c r="N37" s="9"/>
      <c r="O37" s="9"/>
      <c r="P37" s="9"/>
      <c r="Q37" s="9" t="s">
        <v>165</v>
      </c>
      <c r="R37" s="9"/>
      <c r="S37" s="9" t="s">
        <v>189</v>
      </c>
      <c r="T37" s="9" t="s">
        <v>179</v>
      </c>
      <c r="U37" s="9" t="s">
        <v>206</v>
      </c>
      <c r="V37" s="10" t="s">
        <v>226</v>
      </c>
      <c r="W37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37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37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38" spans="1:25" hidden="1" x14ac:dyDescent="0.25">
      <c r="A38" s="1"/>
      <c r="B38" s="1"/>
      <c r="C38" s="1"/>
      <c r="D38" s="1"/>
      <c r="E38" s="1"/>
      <c r="F38" s="9"/>
      <c r="G38" s="9"/>
      <c r="H38" s="9">
        <v>40</v>
      </c>
      <c r="I38" s="9" t="s">
        <v>56</v>
      </c>
      <c r="J38" s="9" t="s">
        <v>76</v>
      </c>
      <c r="K38" s="9" t="s">
        <v>78</v>
      </c>
      <c r="L38" s="9"/>
      <c r="M38" s="9"/>
      <c r="N38" s="9"/>
      <c r="O38" s="9"/>
      <c r="P38" s="9"/>
      <c r="Q38" s="9" t="s">
        <v>166</v>
      </c>
      <c r="R38" s="9"/>
      <c r="S38" s="9" t="s">
        <v>190</v>
      </c>
      <c r="T38" s="9" t="s">
        <v>181</v>
      </c>
      <c r="U38" s="11" t="s">
        <v>207</v>
      </c>
      <c r="V38" s="10" t="s">
        <v>227</v>
      </c>
      <c r="W38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38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38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39" spans="1:25" hidden="1" x14ac:dyDescent="0.25">
      <c r="A39" s="1"/>
      <c r="B39" s="1"/>
      <c r="C39" s="1"/>
      <c r="D39" s="1"/>
      <c r="E39" s="1"/>
      <c r="F39" s="9"/>
      <c r="G39" s="9">
        <v>29</v>
      </c>
      <c r="H39" s="9">
        <v>41</v>
      </c>
      <c r="I39" s="9" t="s">
        <v>57</v>
      </c>
      <c r="J39" s="9" t="s">
        <v>76</v>
      </c>
      <c r="K39" s="9" t="s">
        <v>81</v>
      </c>
      <c r="L39" s="9"/>
      <c r="M39" s="9"/>
      <c r="N39" s="9"/>
      <c r="O39" s="9" t="s">
        <v>140</v>
      </c>
      <c r="P39" s="9"/>
      <c r="Q39" s="9" t="s">
        <v>167</v>
      </c>
      <c r="R39" s="9" t="s">
        <v>171</v>
      </c>
      <c r="S39" s="9" t="s">
        <v>191</v>
      </c>
      <c r="T39" s="9" t="s">
        <v>203</v>
      </c>
      <c r="U39" s="11" t="s">
        <v>208</v>
      </c>
      <c r="V39" s="10" t="s">
        <v>218</v>
      </c>
      <c r="W39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39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39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40" spans="1:25" hidden="1" x14ac:dyDescent="0.25">
      <c r="A40" s="1"/>
      <c r="B40" s="1"/>
      <c r="C40" s="1"/>
      <c r="D40" s="1"/>
      <c r="E40" s="1"/>
      <c r="F40" s="9"/>
      <c r="G40" s="9">
        <v>30</v>
      </c>
      <c r="H40" s="9">
        <v>42</v>
      </c>
      <c r="I40" s="9" t="s">
        <v>58</v>
      </c>
      <c r="J40" s="9" t="s">
        <v>76</v>
      </c>
      <c r="K40" s="9" t="s">
        <v>82</v>
      </c>
      <c r="L40" s="9"/>
      <c r="M40" s="9"/>
      <c r="N40" s="9"/>
      <c r="O40" s="9" t="s">
        <v>141</v>
      </c>
      <c r="P40" s="9"/>
      <c r="Q40" s="9" t="s">
        <v>168</v>
      </c>
      <c r="R40" s="9" t="s">
        <v>172</v>
      </c>
      <c r="S40" s="9" t="s">
        <v>192</v>
      </c>
      <c r="T40" s="9" t="s">
        <v>204</v>
      </c>
      <c r="U40" s="9" t="s">
        <v>209</v>
      </c>
      <c r="V40" s="10" t="s">
        <v>219</v>
      </c>
      <c r="W40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40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40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41" spans="1:25" x14ac:dyDescent="0.25">
      <c r="A41" s="1" t="s">
        <v>282</v>
      </c>
      <c r="B41" s="1"/>
      <c r="C41" s="1"/>
      <c r="D41" s="1"/>
      <c r="E41" s="1">
        <v>22</v>
      </c>
      <c r="F41" s="9">
        <v>21</v>
      </c>
      <c r="G41" s="9">
        <v>31</v>
      </c>
      <c r="H41" s="9">
        <v>43</v>
      </c>
      <c r="I41" s="9" t="s">
        <v>59</v>
      </c>
      <c r="J41" s="9" t="s">
        <v>76</v>
      </c>
      <c r="K41" s="9" t="s">
        <v>83</v>
      </c>
      <c r="L41" s="9"/>
      <c r="M41" s="9"/>
      <c r="N41" s="9"/>
      <c r="O41" s="9" t="s">
        <v>142</v>
      </c>
      <c r="P41" s="9"/>
      <c r="Q41" s="17" t="s">
        <v>169</v>
      </c>
      <c r="R41" s="9" t="s">
        <v>165</v>
      </c>
      <c r="S41" s="9" t="s">
        <v>175</v>
      </c>
      <c r="T41" s="9" t="s">
        <v>179</v>
      </c>
      <c r="U41" s="9"/>
      <c r="V41" s="10" t="s">
        <v>220</v>
      </c>
      <c r="W41" s="7" t="str">
        <f xml:space="preserve"> IF(AND(ISTEXT(Table5[[#This Row],[Pin Name]]), ISNUMBER(Table5[[#This Row],[Arduino Pin]])), "#define PIN_" &amp; Table5[[#This Row],[Pin Name]] &amp; " " &amp; Table5[[#This Row],[Arduino Pin]], "")</f>
        <v>#define PIN_I2C_SDA 22</v>
      </c>
      <c r="X41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pinMode(PIN_I2C_SDA, OUTPUT);</v>
      </c>
      <c r="Y41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42" spans="1:25" x14ac:dyDescent="0.25">
      <c r="A42" s="1" t="s">
        <v>283</v>
      </c>
      <c r="B42" s="1"/>
      <c r="C42" s="1"/>
      <c r="D42" s="1"/>
      <c r="E42" s="1">
        <v>23</v>
      </c>
      <c r="F42" s="9">
        <v>22</v>
      </c>
      <c r="G42" s="9">
        <v>32</v>
      </c>
      <c r="H42" s="9">
        <v>44</v>
      </c>
      <c r="I42" s="9" t="s">
        <v>60</v>
      </c>
      <c r="J42" s="9" t="s">
        <v>76</v>
      </c>
      <c r="K42" s="9" t="s">
        <v>84</v>
      </c>
      <c r="L42" s="9"/>
      <c r="M42" s="9"/>
      <c r="N42" s="9"/>
      <c r="O42" s="9" t="s">
        <v>143</v>
      </c>
      <c r="P42" s="9"/>
      <c r="Q42" s="17" t="s">
        <v>170</v>
      </c>
      <c r="R42" s="9" t="s">
        <v>166</v>
      </c>
      <c r="S42" s="9" t="s">
        <v>176</v>
      </c>
      <c r="T42" s="9" t="s">
        <v>181</v>
      </c>
      <c r="U42" s="9" t="s">
        <v>213</v>
      </c>
      <c r="V42" s="10" t="s">
        <v>221</v>
      </c>
      <c r="W42" s="7" t="str">
        <f xml:space="preserve"> IF(AND(ISTEXT(Table5[[#This Row],[Pin Name]]), ISNUMBER(Table5[[#This Row],[Arduino Pin]])), "#define PIN_" &amp; Table5[[#This Row],[Pin Name]] &amp; " " &amp; Table5[[#This Row],[Arduino Pin]], "")</f>
        <v>#define PIN_I2C_SCL 23</v>
      </c>
      <c r="X42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pinMode(PIN_I2C_SCL, OUTPUT);</v>
      </c>
      <c r="Y42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43" spans="1:25" x14ac:dyDescent="0.25">
      <c r="A43" s="1" t="s">
        <v>265</v>
      </c>
      <c r="B43" s="1"/>
      <c r="C43" s="1"/>
      <c r="D43" s="1"/>
      <c r="E43" s="1">
        <v>24</v>
      </c>
      <c r="F43" s="9">
        <v>23</v>
      </c>
      <c r="G43" s="9">
        <v>33</v>
      </c>
      <c r="H43" s="9">
        <v>45</v>
      </c>
      <c r="I43" s="9" t="s">
        <v>61</v>
      </c>
      <c r="J43" s="9" t="s">
        <v>76</v>
      </c>
      <c r="K43" s="9" t="s">
        <v>90</v>
      </c>
      <c r="L43" s="9"/>
      <c r="M43" s="9"/>
      <c r="N43" s="9"/>
      <c r="O43" s="9"/>
      <c r="P43" s="9"/>
      <c r="Q43" s="9" t="s">
        <v>171</v>
      </c>
      <c r="R43" s="9" t="s">
        <v>167</v>
      </c>
      <c r="S43" s="9" t="s">
        <v>185</v>
      </c>
      <c r="T43" s="9" t="s">
        <v>201</v>
      </c>
      <c r="U43" s="9" t="s">
        <v>214</v>
      </c>
      <c r="V43" s="10"/>
      <c r="W43" s="7" t="str">
        <f xml:space="preserve"> IF(AND(ISTEXT(Table5[[#This Row],[Pin Name]]), ISNUMBER(Table5[[#This Row],[Arduino Pin]])), "#define PIN_" &amp; Table5[[#This Row],[Pin Name]] &amp; " " &amp; Table5[[#This Row],[Arduino Pin]], "")</f>
        <v>#define PIN_USB_DM 24</v>
      </c>
      <c r="X43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pinMode(PIN_USB_DM, OUTPUT);</v>
      </c>
      <c r="Y43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44" spans="1:25" x14ac:dyDescent="0.25">
      <c r="A44" s="1" t="s">
        <v>266</v>
      </c>
      <c r="B44" s="1"/>
      <c r="C44" s="1"/>
      <c r="D44" s="1"/>
      <c r="E44" s="1">
        <v>25</v>
      </c>
      <c r="F44" s="9">
        <v>24</v>
      </c>
      <c r="G44" s="9">
        <v>34</v>
      </c>
      <c r="H44" s="9">
        <v>46</v>
      </c>
      <c r="I44" s="9" t="s">
        <v>62</v>
      </c>
      <c r="J44" s="9" t="s">
        <v>76</v>
      </c>
      <c r="K44" s="9" t="s">
        <v>91</v>
      </c>
      <c r="L44" s="9"/>
      <c r="M44" s="9"/>
      <c r="N44" s="9"/>
      <c r="O44" s="9"/>
      <c r="P44" s="9"/>
      <c r="Q44" s="9" t="s">
        <v>172</v>
      </c>
      <c r="R44" s="9" t="s">
        <v>168</v>
      </c>
      <c r="S44" s="9" t="s">
        <v>186</v>
      </c>
      <c r="T44" s="9" t="s">
        <v>202</v>
      </c>
      <c r="U44" s="9" t="s">
        <v>215</v>
      </c>
      <c r="V44" s="10"/>
      <c r="W44" s="7" t="str">
        <f xml:space="preserve"> IF(AND(ISTEXT(Table5[[#This Row],[Pin Name]]), ISNUMBER(Table5[[#This Row],[Arduino Pin]])), "#define PIN_" &amp; Table5[[#This Row],[Pin Name]] &amp; " " &amp; Table5[[#This Row],[Arduino Pin]], "")</f>
        <v>#define PIN_USB_DP 25</v>
      </c>
      <c r="X44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pinMode(PIN_USB_DP, OUTPUT);</v>
      </c>
      <c r="Y44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45" spans="1:25" hidden="1" x14ac:dyDescent="0.25">
      <c r="A45" s="1"/>
      <c r="B45" s="1"/>
      <c r="C45" s="1"/>
      <c r="D45" s="1"/>
      <c r="E45" s="1"/>
      <c r="F45" s="9"/>
      <c r="G45" s="9">
        <v>37</v>
      </c>
      <c r="H45" s="9">
        <v>49</v>
      </c>
      <c r="I45" s="9" t="s">
        <v>63</v>
      </c>
      <c r="J45" s="9" t="s">
        <v>76</v>
      </c>
      <c r="K45" s="9" t="s">
        <v>83</v>
      </c>
      <c r="L45" s="9"/>
      <c r="M45" s="9"/>
      <c r="N45" s="9"/>
      <c r="O45" s="9"/>
      <c r="P45" s="9"/>
      <c r="Q45" s="9"/>
      <c r="R45" s="9" t="s">
        <v>167</v>
      </c>
      <c r="S45" s="9" t="s">
        <v>191</v>
      </c>
      <c r="T45" s="9" t="s">
        <v>193</v>
      </c>
      <c r="U45" s="9"/>
      <c r="V45" s="10" t="s">
        <v>222</v>
      </c>
      <c r="W45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45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45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46" spans="1:25" hidden="1" x14ac:dyDescent="0.25">
      <c r="A46" s="1"/>
      <c r="B46" s="1"/>
      <c r="C46" s="1"/>
      <c r="D46" s="1"/>
      <c r="E46" s="1"/>
      <c r="F46" s="9"/>
      <c r="G46" s="9">
        <v>38</v>
      </c>
      <c r="H46" s="9">
        <v>50</v>
      </c>
      <c r="I46" s="9" t="s">
        <v>64</v>
      </c>
      <c r="J46" s="9" t="s">
        <v>76</v>
      </c>
      <c r="K46" s="9" t="s">
        <v>84</v>
      </c>
      <c r="L46" s="9"/>
      <c r="M46" s="9"/>
      <c r="N46" s="9"/>
      <c r="O46" s="9"/>
      <c r="P46" s="9"/>
      <c r="Q46" s="9"/>
      <c r="R46" s="9" t="s">
        <v>168</v>
      </c>
      <c r="S46" s="9" t="s">
        <v>192</v>
      </c>
      <c r="T46" s="9" t="s">
        <v>194</v>
      </c>
      <c r="U46" s="9"/>
      <c r="V46" s="10" t="s">
        <v>223</v>
      </c>
      <c r="W46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46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46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47" spans="1:25" x14ac:dyDescent="0.25">
      <c r="A47" s="1"/>
      <c r="B47" s="1"/>
      <c r="C47" s="1"/>
      <c r="D47" s="1"/>
      <c r="E47" s="1">
        <v>27</v>
      </c>
      <c r="F47" s="9">
        <v>25</v>
      </c>
      <c r="G47" s="9">
        <v>39</v>
      </c>
      <c r="H47" s="9">
        <v>51</v>
      </c>
      <c r="I47" s="9" t="s">
        <v>65</v>
      </c>
      <c r="J47" s="9" t="s">
        <v>76</v>
      </c>
      <c r="K47" s="9" t="s">
        <v>93</v>
      </c>
      <c r="L47" s="9"/>
      <c r="M47" s="9"/>
      <c r="N47" s="9"/>
      <c r="O47" s="9"/>
      <c r="P47" s="9"/>
      <c r="Q47" s="9"/>
      <c r="R47" s="9"/>
      <c r="S47" s="9"/>
      <c r="T47" s="9" t="s">
        <v>199</v>
      </c>
      <c r="U47" s="9"/>
      <c r="V47" s="10" t="s">
        <v>222</v>
      </c>
      <c r="W47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47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47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48" spans="1:25" x14ac:dyDescent="0.25">
      <c r="A48" s="1"/>
      <c r="B48" s="1"/>
      <c r="C48" s="1"/>
      <c r="D48" s="1"/>
      <c r="E48" s="1">
        <v>28</v>
      </c>
      <c r="F48" s="9">
        <v>27</v>
      </c>
      <c r="G48" s="9">
        <v>41</v>
      </c>
      <c r="H48" s="9">
        <v>53</v>
      </c>
      <c r="I48" s="9" t="s">
        <v>66</v>
      </c>
      <c r="J48" s="9" t="s">
        <v>76</v>
      </c>
      <c r="K48" s="9" t="s">
        <v>85</v>
      </c>
      <c r="L48" s="9"/>
      <c r="M48" s="9"/>
      <c r="N48" s="9"/>
      <c r="O48" s="9"/>
      <c r="P48" s="9"/>
      <c r="Q48" s="9"/>
      <c r="R48" s="9"/>
      <c r="S48" s="9"/>
      <c r="T48" s="9" t="s">
        <v>200</v>
      </c>
      <c r="U48" s="9"/>
      <c r="V48" s="10" t="s">
        <v>222</v>
      </c>
      <c r="W48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48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48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49" spans="1:25" x14ac:dyDescent="0.25">
      <c r="A49" s="1" t="s">
        <v>216</v>
      </c>
      <c r="B49" s="1"/>
      <c r="C49" s="1"/>
      <c r="D49" s="1"/>
      <c r="E49" s="1">
        <v>30</v>
      </c>
      <c r="F49" s="9">
        <v>31</v>
      </c>
      <c r="G49" s="9">
        <v>45</v>
      </c>
      <c r="H49" s="9">
        <v>57</v>
      </c>
      <c r="I49" s="9" t="s">
        <v>67</v>
      </c>
      <c r="J49" s="9" t="s">
        <v>76</v>
      </c>
      <c r="K49" s="9" t="s">
        <v>88</v>
      </c>
      <c r="L49" s="9"/>
      <c r="M49" s="9"/>
      <c r="N49" s="9"/>
      <c r="O49" s="9"/>
      <c r="P49" s="9"/>
      <c r="Q49" s="9"/>
      <c r="R49" s="9" t="s">
        <v>163</v>
      </c>
      <c r="S49" s="9" t="s">
        <v>183</v>
      </c>
      <c r="T49" s="9" t="s">
        <v>197</v>
      </c>
      <c r="U49" s="9" t="s">
        <v>216</v>
      </c>
      <c r="V49" s="10" t="s">
        <v>222</v>
      </c>
      <c r="W49" s="7" t="str">
        <f xml:space="preserve"> IF(AND(ISTEXT(Table5[[#This Row],[Pin Name]]), ISNUMBER(Table5[[#This Row],[Arduino Pin]])), "#define PIN_" &amp; Table5[[#This Row],[Pin Name]] &amp; " " &amp; Table5[[#This Row],[Arduino Pin]], "")</f>
        <v>#define PIN_SWCLK 30</v>
      </c>
      <c r="X49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pinMode(PIN_SWCLK, OUTPUT);</v>
      </c>
      <c r="Y49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50" spans="1:25" x14ac:dyDescent="0.25">
      <c r="A50" s="1" t="s">
        <v>217</v>
      </c>
      <c r="B50" s="1"/>
      <c r="C50" s="1"/>
      <c r="D50" s="1"/>
      <c r="E50" s="1">
        <v>31</v>
      </c>
      <c r="F50" s="9">
        <v>32</v>
      </c>
      <c r="G50" s="9">
        <v>46</v>
      </c>
      <c r="H50" s="9">
        <v>58</v>
      </c>
      <c r="I50" s="9" t="s">
        <v>68</v>
      </c>
      <c r="J50" s="9" t="s">
        <v>76</v>
      </c>
      <c r="K50" s="9" t="s">
        <v>89</v>
      </c>
      <c r="L50" s="9"/>
      <c r="M50" s="9"/>
      <c r="N50" s="9"/>
      <c r="O50" s="9"/>
      <c r="P50" s="9"/>
      <c r="Q50" s="9"/>
      <c r="R50" s="9" t="s">
        <v>164</v>
      </c>
      <c r="S50" s="9" t="s">
        <v>184</v>
      </c>
      <c r="T50" s="9" t="s">
        <v>198</v>
      </c>
      <c r="U50" s="9" t="s">
        <v>217</v>
      </c>
      <c r="V50" s="10"/>
      <c r="W50" s="7" t="str">
        <f xml:space="preserve"> IF(AND(ISTEXT(Table5[[#This Row],[Pin Name]]), ISNUMBER(Table5[[#This Row],[Arduino Pin]])), "#define PIN_" &amp; Table5[[#This Row],[Pin Name]] &amp; " " &amp; Table5[[#This Row],[Arduino Pin]], "")</f>
        <v>#define PIN_SWDIO 31</v>
      </c>
      <c r="X50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>pinMode(PIN_SWDIO, OUTPUT);</v>
      </c>
      <c r="Y50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51" spans="1:25" hidden="1" x14ac:dyDescent="0.25">
      <c r="A51" s="1"/>
      <c r="B51" s="1"/>
      <c r="C51" s="1"/>
      <c r="D51" s="1"/>
      <c r="E51" s="1"/>
      <c r="F51" s="9"/>
      <c r="G51" s="9"/>
      <c r="H51" s="9">
        <v>59</v>
      </c>
      <c r="I51" s="9" t="s">
        <v>69</v>
      </c>
      <c r="J51" s="9" t="s">
        <v>76</v>
      </c>
      <c r="K51" s="9" t="s">
        <v>92</v>
      </c>
      <c r="L51" s="9"/>
      <c r="M51" s="9"/>
      <c r="N51" s="9"/>
      <c r="O51" s="9"/>
      <c r="P51" s="9"/>
      <c r="Q51" s="9"/>
      <c r="R51" s="9" t="s">
        <v>165</v>
      </c>
      <c r="S51" s="9" t="s">
        <v>177</v>
      </c>
      <c r="T51" s="9" t="s">
        <v>201</v>
      </c>
      <c r="U51" s="9"/>
      <c r="V51" s="10"/>
      <c r="W51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51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51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52" spans="1:25" hidden="1" x14ac:dyDescent="0.25">
      <c r="A52" s="1"/>
      <c r="B52" s="1"/>
      <c r="C52" s="1"/>
      <c r="D52" s="1"/>
      <c r="E52" s="1"/>
      <c r="F52" s="9"/>
      <c r="G52" s="9"/>
      <c r="H52" s="9">
        <v>60</v>
      </c>
      <c r="I52" s="9" t="s">
        <v>70</v>
      </c>
      <c r="J52" s="9" t="s">
        <v>76</v>
      </c>
      <c r="K52" s="9" t="s">
        <v>93</v>
      </c>
      <c r="L52" s="9"/>
      <c r="M52" s="9"/>
      <c r="N52" s="9"/>
      <c r="O52" s="9"/>
      <c r="P52" s="9"/>
      <c r="Q52" s="9"/>
      <c r="R52" s="9" t="s">
        <v>166</v>
      </c>
      <c r="S52" s="9" t="s">
        <v>182</v>
      </c>
      <c r="T52" s="9" t="s">
        <v>202</v>
      </c>
      <c r="U52" s="9"/>
      <c r="V52" s="10"/>
      <c r="W52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52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52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53" spans="1:25" hidden="1" x14ac:dyDescent="0.25">
      <c r="A53" s="1"/>
      <c r="B53" s="1"/>
      <c r="C53" s="1"/>
      <c r="D53" s="1"/>
      <c r="E53" s="1"/>
      <c r="F53" s="9"/>
      <c r="G53" s="9"/>
      <c r="H53" s="9">
        <v>61</v>
      </c>
      <c r="I53" s="9" t="s">
        <v>71</v>
      </c>
      <c r="J53" s="9" t="s">
        <v>75</v>
      </c>
      <c r="K53" s="9" t="s">
        <v>77</v>
      </c>
      <c r="L53" s="9"/>
      <c r="M53" s="9" t="s">
        <v>108</v>
      </c>
      <c r="N53" s="9"/>
      <c r="O53" s="9" t="s">
        <v>144</v>
      </c>
      <c r="P53" s="9"/>
      <c r="Q53" s="9"/>
      <c r="R53" s="9" t="s">
        <v>167</v>
      </c>
      <c r="S53" s="9" t="s">
        <v>191</v>
      </c>
      <c r="T53" s="9"/>
      <c r="U53" s="9"/>
      <c r="V53" s="10"/>
      <c r="W53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53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53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54" spans="1:25" hidden="1" x14ac:dyDescent="0.25">
      <c r="A54" s="1"/>
      <c r="B54" s="1"/>
      <c r="C54" s="1"/>
      <c r="D54" s="1"/>
      <c r="E54" s="1"/>
      <c r="F54" s="9"/>
      <c r="G54" s="9"/>
      <c r="H54" s="9">
        <v>62</v>
      </c>
      <c r="I54" s="9" t="s">
        <v>72</v>
      </c>
      <c r="J54" s="9" t="s">
        <v>75</v>
      </c>
      <c r="K54" s="9" t="s">
        <v>78</v>
      </c>
      <c r="L54" s="9"/>
      <c r="M54" s="9" t="s">
        <v>113</v>
      </c>
      <c r="N54" s="9"/>
      <c r="O54" s="9" t="s">
        <v>145</v>
      </c>
      <c r="P54" s="9"/>
      <c r="Q54" s="9"/>
      <c r="R54" s="9" t="s">
        <v>168</v>
      </c>
      <c r="S54" s="9" t="s">
        <v>192</v>
      </c>
      <c r="T54" s="9"/>
      <c r="U54" s="9"/>
      <c r="V54" s="10"/>
      <c r="W54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54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54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55" spans="1:25" hidden="1" x14ac:dyDescent="0.25">
      <c r="A55" s="1"/>
      <c r="B55" s="1"/>
      <c r="C55" s="1"/>
      <c r="D55" s="1"/>
      <c r="E55" s="1"/>
      <c r="F55" s="9"/>
      <c r="G55" s="9">
        <v>47</v>
      </c>
      <c r="H55" s="9">
        <v>63</v>
      </c>
      <c r="I55" s="9" t="s">
        <v>73</v>
      </c>
      <c r="J55" s="9" t="s">
        <v>75</v>
      </c>
      <c r="K55" s="9" t="s">
        <v>79</v>
      </c>
      <c r="L55" s="9"/>
      <c r="M55" s="9" t="s">
        <v>114</v>
      </c>
      <c r="N55" s="9"/>
      <c r="O55" s="9" t="s">
        <v>146</v>
      </c>
      <c r="P55" s="9"/>
      <c r="Q55" s="9"/>
      <c r="R55" s="9" t="s">
        <v>165</v>
      </c>
      <c r="S55" s="9" t="s">
        <v>189</v>
      </c>
      <c r="T55" s="9" t="s">
        <v>195</v>
      </c>
      <c r="U55" s="9"/>
      <c r="V55" s="10"/>
      <c r="W55" s="7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55" s="1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55" s="1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56" spans="1:25" hidden="1" x14ac:dyDescent="0.25">
      <c r="A56" s="2"/>
      <c r="B56" s="2"/>
      <c r="C56" s="2"/>
      <c r="D56" s="2"/>
      <c r="E56" s="2"/>
      <c r="F56" s="12"/>
      <c r="G56" s="12">
        <v>48</v>
      </c>
      <c r="H56" s="12">
        <v>64</v>
      </c>
      <c r="I56" s="12" t="s">
        <v>74</v>
      </c>
      <c r="J56" s="12" t="s">
        <v>75</v>
      </c>
      <c r="K56" s="12" t="s">
        <v>80</v>
      </c>
      <c r="L56" s="12"/>
      <c r="M56" s="12" t="s">
        <v>115</v>
      </c>
      <c r="N56" s="12"/>
      <c r="O56" s="12" t="s">
        <v>147</v>
      </c>
      <c r="P56" s="12"/>
      <c r="Q56" s="12"/>
      <c r="R56" s="12" t="s">
        <v>166</v>
      </c>
      <c r="S56" s="12" t="s">
        <v>190</v>
      </c>
      <c r="T56" s="12" t="s">
        <v>196</v>
      </c>
      <c r="U56" s="12"/>
      <c r="V56" s="13"/>
      <c r="W56" s="8" t="str">
        <f xml:space="preserve"> IF(AND(ISTEXT(Table5[[#This Row],[Pin Name]]), ISNUMBER(Table5[[#This Row],[Arduino Pin]])), "#define PIN_" &amp; Table5[[#This Row],[Pin Name]] &amp; " " &amp; Table5[[#This Row],[Arduino Pin]], "")</f>
        <v/>
      </c>
      <c r="X56" s="2" t="str">
        <f>IF(OR(Table5[[#This Row],[Pin '#defines]] = "", Table5[[#This Row],[Pin mode]] = "Output Analogue"), "", "pinMode(PIN_" &amp; Table5[[#This Row],[Pin Name]] &amp; ", " &amp; IF(Table5[[#This Row],[Pin mode]] = "Input", "INPUT" &amp; IF(Table5[[#This Row],[Pin init state]] = "High", "_PULLUP);", IF(Table5[[#This Row],[Pin init state]] = "Low", "_PULLDOWN);", ");") ), "OUTPUT);"))</f>
        <v/>
      </c>
      <c r="Y56" s="2" t="str">
        <f>IF(Table5[[#This Row],[Pin mode]] = "Output", "digitalWrite(PIN_" &amp; Table5[[#This Row],[Pin Name]] &amp; IF(Table5[[#This Row],[Pin init state]] = "High", ", HIGH);", ", LOW);"), IF(Table5[[#This Row],[Pin mode]] = "Output Analogue", "analogWrite(PIN_" &amp; Table5[[#This Row],[Pin Name]] &amp; ", " &amp; IF(Table5[[#This Row],[Pin init state]] = "High", "255", IF(Table5[[#This Row],[Pin init state]] = "Low", "0", IF(AND(Table5[[#This Row],[Pin init state]] &gt;= 0, Table5[[#This Row],[Pin init state]] &lt;= 255), Table5[[#This Row],[Pin init state]], 0))) &amp; ");", ""))</f>
        <v/>
      </c>
    </row>
    <row r="58" spans="1:25" x14ac:dyDescent="0.25">
      <c r="W58" s="24" t="s">
        <v>254</v>
      </c>
      <c r="X58" s="22"/>
    </row>
    <row r="59" spans="1:25" x14ac:dyDescent="0.25">
      <c r="W59" s="14" t="s">
        <v>255</v>
      </c>
      <c r="X59" s="14" t="s">
        <v>256</v>
      </c>
    </row>
    <row r="60" spans="1:25" x14ac:dyDescent="0.25">
      <c r="W60" s="15" t="s">
        <v>257</v>
      </c>
      <c r="X60" s="16" t="s">
        <v>258</v>
      </c>
    </row>
    <row r="61" spans="1:25" x14ac:dyDescent="0.25">
      <c r="W61" s="15" t="s">
        <v>259</v>
      </c>
      <c r="X61" s="16" t="s">
        <v>260</v>
      </c>
    </row>
    <row r="62" spans="1:25" x14ac:dyDescent="0.25">
      <c r="W62" s="15" t="s">
        <v>261</v>
      </c>
      <c r="X62" s="16" t="s">
        <v>262</v>
      </c>
    </row>
    <row r="63" spans="1:25" x14ac:dyDescent="0.25">
      <c r="W63" s="15" t="s">
        <v>263</v>
      </c>
      <c r="X63" s="16" t="s">
        <v>264</v>
      </c>
    </row>
  </sheetData>
  <mergeCells count="5">
    <mergeCell ref="W3:Y3"/>
    <mergeCell ref="F3:H3"/>
    <mergeCell ref="A3:D3"/>
    <mergeCell ref="A1:Y1"/>
    <mergeCell ref="W58:X58"/>
  </mergeCells>
  <phoneticPr fontId="2" type="noConversion"/>
  <hyperlinks>
    <hyperlink ref="B2" r:id="rId1" xr:uid="{387D0E1F-D3FB-4827-B07B-FB654417CD3A}"/>
  </hyperlinks>
  <pageMargins left="0.7" right="0.7" top="0.75" bottom="0.75" header="0.3" footer="0.3"/>
  <pageSetup paperSize="9" orientation="portrait" r:id="rId2"/>
  <drawing r:id="rId3"/>
  <tableParts count="1">
    <tablePart r:id="rId4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333B6AF-9C95-4517-8A74-75E6B2617E95}">
          <x14:formula1>
            <xm:f>Lists!$A$2:$A$4</xm:f>
          </x14:formula1>
          <xm:sqref>C5:C56</xm:sqref>
        </x14:dataValidation>
        <x14:dataValidation type="list" errorStyle="information" allowBlank="1" showInputMessage="1" showErrorMessage="1" xr:uid="{3CCDC590-3CC9-4B80-8BAB-BD0AAC033F76}">
          <x14:formula1>
            <xm:f>Lists!$B$2:$B$4</xm:f>
          </x14:formula1>
          <xm:sqref>D5:D56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252DA-1F0F-4B5E-8042-D5A5B243D5F3}">
  <dimension ref="A1:B4"/>
  <sheetViews>
    <sheetView workbookViewId="0">
      <selection activeCell="B4" sqref="B4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241</v>
      </c>
      <c r="B1" t="s">
        <v>247</v>
      </c>
    </row>
    <row r="2" spans="1:2" x14ac:dyDescent="0.25">
      <c r="A2" t="s">
        <v>245</v>
      </c>
      <c r="B2" t="s">
        <v>248</v>
      </c>
    </row>
    <row r="3" spans="1:2" x14ac:dyDescent="0.25">
      <c r="A3" t="s">
        <v>240</v>
      </c>
      <c r="B3" t="s">
        <v>249</v>
      </c>
    </row>
    <row r="4" spans="1:2" x14ac:dyDescent="0.25">
      <c r="A4" t="s">
        <v>246</v>
      </c>
      <c r="B4" t="s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SAMD2xx</vt:lpstr>
      <vt:lpstr>Lists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Peake</dc:creator>
  <cp:lastModifiedBy>Jeremy Peake</cp:lastModifiedBy>
  <dcterms:created xsi:type="dcterms:W3CDTF">2023-08-29T03:18:46Z</dcterms:created>
  <dcterms:modified xsi:type="dcterms:W3CDTF">2026-01-09T04:59:07Z</dcterms:modified>
</cp:coreProperties>
</file>